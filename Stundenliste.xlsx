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1\Downloads\"/>
    </mc:Choice>
  </mc:AlternateContent>
  <xr:revisionPtr revIDLastSave="0" documentId="13_ncr:1_{17FDE770-0FD7-4EEF-AD6A-21FEEC53E436}" xr6:coauthVersionLast="47" xr6:coauthVersionMax="47" xr10:uidLastSave="{00000000-0000-0000-0000-000000000000}"/>
  <bookViews>
    <workbookView xWindow="-120" yWindow="-120" windowWidth="38640" windowHeight="20625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F8" i="1"/>
  <c r="A7" i="1"/>
  <c r="A13" i="1"/>
  <c r="F12" i="1"/>
  <c r="F13" i="1"/>
  <c r="A11" i="1"/>
  <c r="F11" i="1"/>
  <c r="A10" i="1"/>
  <c r="F10" i="1"/>
  <c r="A8" i="1"/>
  <c r="J3" i="1"/>
  <c r="J8" i="1"/>
  <c r="J9" i="1"/>
  <c r="J4" i="1"/>
  <c r="J5" i="1"/>
  <c r="F3" i="1"/>
  <c r="J7" i="1" s="1"/>
  <c r="F4" i="1"/>
  <c r="J11" i="1" s="1"/>
  <c r="F5" i="1"/>
  <c r="F6" i="1"/>
  <c r="F7" i="1"/>
  <c r="F9" i="1"/>
  <c r="F2" i="1"/>
  <c r="A2" i="1"/>
  <c r="A6" i="1"/>
  <c r="M7" i="1" l="1"/>
  <c r="M3" i="1"/>
  <c r="M4" i="1"/>
  <c r="M5" i="1"/>
  <c r="A3" i="1"/>
  <c r="A4" i="1"/>
  <c r="A5" i="1"/>
  <c r="A9" i="1"/>
  <c r="M8" i="1" l="1"/>
</calcChain>
</file>

<file path=xl/sharedStrings.xml><?xml version="1.0" encoding="utf-8"?>
<sst xmlns="http://schemas.openxmlformats.org/spreadsheetml/2006/main" count="43" uniqueCount="26">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</sst>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</numFmts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20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Standard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4" formatCode="h: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13" totalsRowShown="0" headerRowDxfId="12" dataDxfId="11">
  <autoFilter ref="A1:G13" xr:uid="{730AE997-56E9-481C-8C9C-45C7D9E3EFFC}"/>
  <sortState xmlns:xlrd2="http://schemas.microsoft.com/office/spreadsheetml/2017/richdata2" ref="A2:G7">
    <sortCondition ref="B1:B5"/>
  </sortState>
  <tableColumns count="7">
    <tableColumn id="1" xr3:uid="{AD59871A-76CC-45F6-8F91-44F7ED02573E}" name="Tag" dataDxfId="10">
      <calculatedColumnFormula>IF(ISNUMBER(B2),LEFT(TEXT(B2,"TTTT"),2)&amp;".","")</calculatedColumnFormula>
    </tableColumn>
    <tableColumn id="2" xr3:uid="{0BE9BF18-BC7D-4870-8E1C-AF08893F5227}" name="Datum" dataDxfId="9"/>
    <tableColumn id="3" xr3:uid="{8264A4E0-F28F-4A0D-A490-C90DCCB13F8E}" name="Tätigkeit/Info" dataDxfId="8"/>
    <tableColumn id="4" xr3:uid="{FE347096-2316-4A4F-8E95-6B08EDE9030A}" name="Von" dataDxfId="7"/>
    <tableColumn id="5" xr3:uid="{DF9965FF-51AE-44CD-90F9-60C1127D4458}" name="Bis" dataDxfId="6"/>
    <tableColumn id="6" xr3:uid="{71889B4E-2C0D-4CC7-AB39-54AAA30FF7DC}" name="Stunden" dataDxfId="5">
      <calculatedColumnFormula>IF(E2&gt;D2,E2-D2,IF(ISNUMBER(Stundenliste[[#This Row],[Von]]),"24:00"-(D2-E2),""))</calculatedColumnFormula>
    </tableColumn>
    <tableColumn id="7" xr3:uid="{37DB6F7E-AF9C-40D4-A31C-91C6CFAF5E2F}" name="Wer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M5" totalsRowShown="0">
  <autoFilter ref="L2:M5" xr:uid="{028D3482-62D4-45D7-85FA-8EC2E4DDD78D}"/>
  <tableColumns count="2">
    <tableColumn id="1" xr3:uid="{9B6AAEA3-668A-4353-A33E-0D79279FD064}" name="Name"/>
    <tableColumn id="2" xr3:uid="{DF593358-143C-4B61-887F-2E7A8967BB61}" name="Stunden" dataDxfId="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M14"/>
  <sheetViews>
    <sheetView tabSelected="1" zoomScale="190" zoomScaleNormal="190" workbookViewId="0">
      <selection activeCell="J17" sqref="J17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42578125" customWidth="1"/>
    <col min="7" max="7" width="11.42578125" customWidth="1"/>
  </cols>
  <sheetData>
    <row r="1" spans="1:13" x14ac:dyDescent="0.25">
      <c r="A1" s="8" t="s">
        <v>0</v>
      </c>
      <c r="B1" s="9" t="s">
        <v>1</v>
      </c>
      <c r="C1" s="8" t="s">
        <v>2</v>
      </c>
      <c r="D1" s="10" t="s">
        <v>3</v>
      </c>
      <c r="E1" s="10" t="s">
        <v>4</v>
      </c>
      <c r="F1" s="10" t="s">
        <v>5</v>
      </c>
      <c r="G1" s="8" t="s">
        <v>6</v>
      </c>
    </row>
    <row r="2" spans="1:13" x14ac:dyDescent="0.25">
      <c r="A2" s="4" t="str">
        <f>IF(ISNUMBER(B2),LEFT(TEXT(B2,"TTTT"),2)&amp;".","")</f>
        <v>So.</v>
      </c>
      <c r="B2" s="5">
        <v>45809</v>
      </c>
      <c r="C2" s="4" t="s">
        <v>8</v>
      </c>
      <c r="D2" s="6">
        <v>0.29166666666666669</v>
      </c>
      <c r="E2" s="6">
        <v>0.75</v>
      </c>
      <c r="F2" s="7">
        <f>IF(E2&gt;D2,E2-D2,IF(ISNUMBER(Stundenliste[[#This Row],[Von]]),"24:00"-(D2-E2),""))</f>
        <v>0.45833333333333331</v>
      </c>
      <c r="G2" s="4" t="s">
        <v>7</v>
      </c>
      <c r="I2" t="s">
        <v>15</v>
      </c>
      <c r="J2" t="s">
        <v>16</v>
      </c>
      <c r="L2" t="s">
        <v>15</v>
      </c>
      <c r="M2" t="s">
        <v>5</v>
      </c>
    </row>
    <row r="3" spans="1:13" x14ac:dyDescent="0.25">
      <c r="A3" s="4" t="str">
        <f t="shared" ref="A3:A5" si="0">IF(ISNUMBER(B3),LEFT(TEXT(B3,"TTTT"),2)&amp;".","")</f>
        <v>Di.</v>
      </c>
      <c r="B3" s="5">
        <v>45811</v>
      </c>
      <c r="C3" s="4" t="s">
        <v>18</v>
      </c>
      <c r="D3" s="6">
        <v>0.30902777777777779</v>
      </c>
      <c r="E3" s="6">
        <v>0.41319444444444442</v>
      </c>
      <c r="F3" s="7">
        <f>IF(E3&gt;D3,E3-D3,IF(ISNUMBER(Stundenliste[[#This Row],[Von]]),"24:00"-(D3-E3),""))</f>
        <v>0.10416666666666663</v>
      </c>
      <c r="G3" s="5" t="s">
        <v>12</v>
      </c>
      <c r="H3" s="1"/>
      <c r="I3" s="4" t="s">
        <v>9</v>
      </c>
      <c r="J3" s="12">
        <f>SUMIF(Stundenliste[Wer],I3,Stundenliste[Stunden])</f>
        <v>0</v>
      </c>
      <c r="L3" t="s">
        <v>10</v>
      </c>
      <c r="M3" s="13">
        <f>SUM(J4,J7,J8,J11)</f>
        <v>1.583333333333333</v>
      </c>
    </row>
    <row r="4" spans="1:13" x14ac:dyDescent="0.25">
      <c r="A4" s="4" t="str">
        <f t="shared" si="0"/>
        <v>Di.</v>
      </c>
      <c r="B4" s="5">
        <v>45818</v>
      </c>
      <c r="C4" s="4" t="s">
        <v>19</v>
      </c>
      <c r="D4" s="6">
        <v>0.30902777777777779</v>
      </c>
      <c r="E4" s="6">
        <v>0.41319444444444442</v>
      </c>
      <c r="F4" s="7">
        <f>IF(E4&gt;D4,E4-D4,IF(ISNUMBER(Stundenliste[[#This Row],[Von]]),"24:00"-(D4-E4),""))</f>
        <v>0.10416666666666663</v>
      </c>
      <c r="G4" s="4" t="s">
        <v>7</v>
      </c>
      <c r="I4" s="5" t="s">
        <v>10</v>
      </c>
      <c r="J4" s="12">
        <f>SUMIF(Stundenliste[Wer],I4,Stundenliste[Stunden])</f>
        <v>0.24999999999999983</v>
      </c>
      <c r="L4" t="s">
        <v>11</v>
      </c>
      <c r="M4" s="13">
        <f>SUM(J5,J8,J9,J11)</f>
        <v>1.1736111111111112</v>
      </c>
    </row>
    <row r="5" spans="1:13" x14ac:dyDescent="0.25">
      <c r="A5" s="4" t="str">
        <f t="shared" si="0"/>
        <v>Di.</v>
      </c>
      <c r="B5" s="5">
        <v>45825</v>
      </c>
      <c r="C5" s="4" t="s">
        <v>20</v>
      </c>
      <c r="D5" s="6">
        <v>0.30902777777777779</v>
      </c>
      <c r="E5" s="6">
        <v>0.41319444444444442</v>
      </c>
      <c r="F5" s="7">
        <f>IF(E5&gt;D5,E5-D5,IF(ISNUMBER(Stundenliste[[#This Row],[Von]]),"24:00"-(D5-E5),""))</f>
        <v>0.10416666666666663</v>
      </c>
      <c r="G5" s="4" t="s">
        <v>7</v>
      </c>
      <c r="I5" s="5" t="s">
        <v>11</v>
      </c>
      <c r="J5" s="12">
        <f>SUMIF(Stundenliste[Wer],I5,Stundenliste[Stunden])</f>
        <v>9.027777777777779E-2</v>
      </c>
      <c r="L5" t="s">
        <v>9</v>
      </c>
      <c r="M5" s="13">
        <f>SUM(J3,J7,J9,J11)</f>
        <v>1.3333333333333333</v>
      </c>
    </row>
    <row r="6" spans="1:13" x14ac:dyDescent="0.25">
      <c r="A6" s="4" t="str">
        <f t="shared" ref="A6:A11" si="1">IF(ISNUMBER(B6),LEFT(TEXT(B6,"TTTT"),2)&amp;".","")</f>
        <v>Di.</v>
      </c>
      <c r="B6" s="5">
        <v>45832</v>
      </c>
      <c r="C6" s="4" t="s">
        <v>17</v>
      </c>
      <c r="D6" s="6">
        <v>0.30902777777777779</v>
      </c>
      <c r="E6" s="6">
        <v>0.60069444444444442</v>
      </c>
      <c r="F6" s="7">
        <f>IF(E6&gt;D6,E6-D6,IF(ISNUMBER(Stundenliste[[#This Row],[Von]]),"24:00"-(D6-E6),""))</f>
        <v>0.29166666666666663</v>
      </c>
      <c r="G6" s="4" t="s">
        <v>7</v>
      </c>
      <c r="I6" s="5"/>
      <c r="J6" s="12"/>
    </row>
    <row r="7" spans="1:13" x14ac:dyDescent="0.25">
      <c r="A7" s="4" t="str">
        <f t="shared" si="1"/>
        <v>Sa.</v>
      </c>
      <c r="B7" s="5">
        <v>45885</v>
      </c>
      <c r="C7" s="4" t="s">
        <v>21</v>
      </c>
      <c r="D7" s="6">
        <v>0.70833333333333337</v>
      </c>
      <c r="E7" s="6">
        <v>0.83333333333333337</v>
      </c>
      <c r="F7" s="7">
        <f>IF(E7&gt;D7,E7-D7,IF(ISNUMBER(Stundenliste[[#This Row],[Von]]),"24:00"-(D7-E7),""))</f>
        <v>0.125</v>
      </c>
      <c r="G7" s="4" t="s">
        <v>7</v>
      </c>
      <c r="I7" s="5" t="s">
        <v>12</v>
      </c>
      <c r="J7" s="12">
        <f>SUMIF(Stundenliste[Wer],I7,Stundenliste[Stunden])</f>
        <v>0.25</v>
      </c>
      <c r="M7" s="17">
        <f>SUM(F2:F13)</f>
        <v>1.6736111111111107</v>
      </c>
    </row>
    <row r="8" spans="1:13" x14ac:dyDescent="0.25">
      <c r="A8" s="4" t="str">
        <f t="shared" si="1"/>
        <v>Fr.</v>
      </c>
      <c r="B8" s="5">
        <v>45919</v>
      </c>
      <c r="C8" s="4" t="s">
        <v>23</v>
      </c>
      <c r="D8" s="6">
        <v>0.70833333333333337</v>
      </c>
      <c r="E8" s="6">
        <v>0.79166666666666663</v>
      </c>
      <c r="F8" s="14">
        <f>IF(E8&gt;D8,E8-D8,IF(ISNUMBER(Stundenliste[[#This Row],[Von]]),"24:00"-(D8-E8),""))</f>
        <v>8.3333333333333259E-2</v>
      </c>
      <c r="G8" s="4" t="s">
        <v>10</v>
      </c>
      <c r="I8" s="5" t="s">
        <v>13</v>
      </c>
      <c r="J8" s="12">
        <f>SUMIF(Stundenliste[Wer],I8,Stundenliste[Stunden])</f>
        <v>0</v>
      </c>
      <c r="M8" s="18">
        <f>TEXT(M7,"[h]")+TEXT(M7,"mm")/60</f>
        <v>40.166666666666664</v>
      </c>
    </row>
    <row r="9" spans="1:13" x14ac:dyDescent="0.25">
      <c r="A9" s="4" t="str">
        <f t="shared" si="1"/>
        <v>Mi.</v>
      </c>
      <c r="B9" s="5">
        <v>45924</v>
      </c>
      <c r="C9" s="4" t="s">
        <v>22</v>
      </c>
      <c r="D9" s="6">
        <v>0.58333333333333337</v>
      </c>
      <c r="E9" s="6">
        <v>0.66666666666666663</v>
      </c>
      <c r="F9" s="7">
        <f>IF(E9&gt;D9,E9-D9,IF(ISNUMBER(Stundenliste[[#This Row],[Von]]),"24:00"-(D9-E9),""))</f>
        <v>8.3333333333333259E-2</v>
      </c>
      <c r="G9" s="4" t="s">
        <v>10</v>
      </c>
      <c r="I9" s="5" t="s">
        <v>14</v>
      </c>
      <c r="J9" s="12">
        <f>SUMIF(Stundenliste[Wer],I9,Stundenliste[Stunden])</f>
        <v>0</v>
      </c>
    </row>
    <row r="10" spans="1:13" x14ac:dyDescent="0.25">
      <c r="A10" s="4" t="str">
        <f t="shared" si="1"/>
        <v>So.</v>
      </c>
      <c r="B10" s="5">
        <v>45928</v>
      </c>
      <c r="C10" s="4" t="s">
        <v>24</v>
      </c>
      <c r="D10" s="6">
        <v>0.47916666666666669</v>
      </c>
      <c r="E10" s="6">
        <v>0.5625</v>
      </c>
      <c r="F10" s="14">
        <f>IF(E10&gt;D10,E10-D10,IF(ISNUMBER(Stundenliste[[#This Row],[Von]]),"24:00"-(D10-E10),""))</f>
        <v>8.3333333333333315E-2</v>
      </c>
      <c r="G10" s="15" t="s">
        <v>10</v>
      </c>
      <c r="I10" s="5"/>
      <c r="J10" s="12"/>
    </row>
    <row r="11" spans="1:13" x14ac:dyDescent="0.25">
      <c r="A11" s="4" t="str">
        <f t="shared" si="1"/>
        <v>Mi.</v>
      </c>
      <c r="B11" s="5">
        <v>46001</v>
      </c>
      <c r="C11" s="4" t="s">
        <v>25</v>
      </c>
      <c r="D11" s="6">
        <v>0.52777777777777779</v>
      </c>
      <c r="E11" s="6">
        <v>0.67361111111111116</v>
      </c>
      <c r="F11" s="14">
        <f>IF(E11&gt;D11,E11-D11,IF(ISNUMBER(Stundenliste[[#This Row],[Von]]),"24:00"-(D11-E11),""))</f>
        <v>0.14583333333333337</v>
      </c>
      <c r="G11" s="4" t="s">
        <v>12</v>
      </c>
      <c r="I11" s="5" t="s">
        <v>7</v>
      </c>
      <c r="J11" s="12">
        <f>SUMIF(Stundenliste[Wer],I11,Stundenliste[Stunden])</f>
        <v>1.0833333333333333</v>
      </c>
    </row>
    <row r="12" spans="1:13" x14ac:dyDescent="0.25">
      <c r="A12" s="4" t="str">
        <f t="shared" ref="A12" si="2">IF(ISNUMBER(B12),LEFT(TEXT(B12,"TTTT"),2)&amp;".","")</f>
        <v>Mi.</v>
      </c>
      <c r="B12" s="5">
        <v>46001</v>
      </c>
      <c r="C12" s="4" t="s">
        <v>25</v>
      </c>
      <c r="D12" s="11">
        <v>0.58333333333333337</v>
      </c>
      <c r="E12" s="6">
        <v>0.67361111111111116</v>
      </c>
      <c r="F12" s="14">
        <f>IF(E12&gt;D12,E12-D12,IF(ISNUMBER(Stundenliste[[#This Row],[Von]]),"24:00"-(D12-E12),""))</f>
        <v>9.027777777777779E-2</v>
      </c>
      <c r="G12" s="4" t="s">
        <v>11</v>
      </c>
    </row>
    <row r="13" spans="1:13" x14ac:dyDescent="0.25">
      <c r="A13" s="4" t="str">
        <f t="shared" ref="A12:A13" si="3">IF(ISNUMBER(B13),LEFT(TEXT(B13,"TTTT"),2)&amp;".","")</f>
        <v/>
      </c>
      <c r="B13" s="5"/>
      <c r="C13" s="4"/>
      <c r="D13" s="4"/>
      <c r="E13" s="4"/>
      <c r="F13" s="14" t="str">
        <f>IF(E13&gt;D13,E13-D13,IF(ISNUMBER(Stundenliste[[#This Row],[Von]]),"24:00"-(D13-E13),""))</f>
        <v/>
      </c>
      <c r="G13" s="4"/>
      <c r="I13" s="16"/>
      <c r="J13" s="11"/>
      <c r="K13" s="4"/>
    </row>
    <row r="14" spans="1:13" x14ac:dyDescent="0.25">
      <c r="C14" s="2"/>
      <c r="E14" s="19"/>
      <c r="F14" s="19"/>
      <c r="G14" s="3"/>
      <c r="I14" s="16"/>
      <c r="J14" s="11"/>
      <c r="K14" s="4"/>
    </row>
  </sheetData>
  <mergeCells count="1">
    <mergeCell ref="E14:F14"/>
  </mergeCells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2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Niklas Studener</cp:lastModifiedBy>
  <cp:revision/>
  <dcterms:created xsi:type="dcterms:W3CDTF">2022-09-30T10:08:24Z</dcterms:created>
  <dcterms:modified xsi:type="dcterms:W3CDTF">2025-12-10T15:01:00Z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