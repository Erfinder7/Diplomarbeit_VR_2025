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Arthur\Downloads\"/>
    </mc:Choice>
  </mc:AlternateContent>
  <xr:revisionPtr revIDLastSave="0" documentId="13_ncr:1_{A9E93C15-7854-4D84-840C-F39C92A9BF31}" xr6:coauthVersionLast="47" xr6:coauthVersionMax="47" xr10:uidLastSave="{00000000-0000-0000-0000-000000000000}"/>
  <bookViews>
    <workbookView xWindow="-120" yWindow="-120" windowWidth="38640" windowHeight="2112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F101" i="1"/>
  <c r="A100" i="1"/>
  <c r="F100" i="1"/>
  <c r="A99" i="1"/>
  <c r="F99" i="1"/>
  <c r="A98" i="1"/>
  <c r="F98" i="1"/>
  <c r="A97" i="1"/>
  <c r="F97" i="1"/>
  <c r="A96" i="1"/>
  <c r="F96" i="1"/>
  <c r="F95" i="1"/>
  <c r="A95" i="1"/>
  <c r="A94" i="1"/>
  <c r="F94" i="1"/>
  <c r="A93" i="1"/>
  <c r="F93" i="1"/>
  <c r="A46" i="1"/>
  <c r="F46" i="1"/>
  <c r="A44" i="1"/>
  <c r="F44" i="1"/>
  <c r="A88" i="1"/>
  <c r="F88" i="1"/>
  <c r="A87" i="1"/>
  <c r="F87" i="1"/>
  <c r="A85" i="1"/>
  <c r="F85" i="1"/>
  <c r="A92" i="1"/>
  <c r="F92" i="1"/>
  <c r="A91" i="1"/>
  <c r="F91" i="1"/>
  <c r="A86" i="1"/>
  <c r="F86" i="1"/>
  <c r="A84" i="1"/>
  <c r="F84" i="1"/>
  <c r="A89" i="1"/>
  <c r="F89" i="1"/>
  <c r="A90" i="1"/>
  <c r="F90" i="1"/>
  <c r="A83" i="1"/>
  <c r="F83" i="1"/>
  <c r="A82" i="1"/>
  <c r="F82" i="1"/>
  <c r="A81" i="1"/>
  <c r="F81" i="1"/>
  <c r="A80" i="1"/>
  <c r="F80" i="1"/>
  <c r="A76" i="1"/>
  <c r="F76" i="1"/>
  <c r="A77" i="1"/>
  <c r="F77" i="1"/>
  <c r="A78" i="1"/>
  <c r="F78" i="1"/>
  <c r="A79" i="1"/>
  <c r="F79" i="1"/>
  <c r="A75" i="1"/>
  <c r="F75" i="1"/>
  <c r="A74" i="1"/>
  <c r="F74" i="1"/>
  <c r="A73" i="1"/>
  <c r="F73" i="1"/>
  <c r="A69" i="1"/>
  <c r="F69" i="1"/>
  <c r="A71" i="1"/>
  <c r="F71" i="1"/>
  <c r="A70" i="1"/>
  <c r="F70" i="1"/>
  <c r="A72" i="1"/>
  <c r="F72" i="1"/>
  <c r="A68" i="1"/>
  <c r="F68" i="1"/>
  <c r="A67" i="1"/>
  <c r="F67" i="1"/>
  <c r="A66" i="1"/>
  <c r="F66" i="1"/>
  <c r="A65" i="1"/>
  <c r="F65" i="1"/>
  <c r="A23" i="1"/>
  <c r="F23" i="1"/>
  <c r="A25" i="1"/>
  <c r="F25" i="1"/>
  <c r="A18" i="1"/>
  <c r="F18" i="1"/>
  <c r="A17" i="1"/>
  <c r="F17" i="1"/>
  <c r="A15" i="1"/>
  <c r="A16" i="1"/>
  <c r="F15" i="1"/>
  <c r="F16" i="1"/>
  <c r="A63" i="1"/>
  <c r="F63" i="1"/>
  <c r="A64" i="1"/>
  <c r="F64" i="1"/>
  <c r="A14" i="1"/>
  <c r="F14" i="1"/>
  <c r="A62" i="1"/>
  <c r="F62" i="1"/>
  <c r="A61" i="1"/>
  <c r="F61" i="1"/>
  <c r="A60" i="1"/>
  <c r="F60" i="1"/>
  <c r="A59" i="1"/>
  <c r="F59" i="1"/>
  <c r="F2" i="1"/>
  <c r="M7" i="1" s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7" i="1"/>
  <c r="F51" i="1"/>
  <c r="F48" i="1"/>
  <c r="F49" i="1"/>
  <c r="F50" i="1"/>
  <c r="F52" i="1"/>
  <c r="F54" i="1"/>
  <c r="F55" i="1"/>
  <c r="F53" i="1"/>
  <c r="F56" i="1"/>
  <c r="F57" i="1"/>
  <c r="F58" i="1"/>
  <c r="A56" i="1" l="1"/>
  <c r="A57" i="1"/>
  <c r="A58" i="1"/>
  <c r="A53" i="1"/>
  <c r="A55" i="1"/>
  <c r="A54" i="1"/>
  <c r="A52" i="1"/>
  <c r="A50" i="1"/>
  <c r="A51" i="1"/>
  <c r="P6" i="1"/>
  <c r="Q6" i="1" s="1"/>
  <c r="A42" i="1"/>
  <c r="A10" i="1"/>
  <c r="J9" i="1"/>
  <c r="A41" i="1"/>
  <c r="A28" i="1"/>
  <c r="A43" i="1"/>
  <c r="A45" i="1"/>
  <c r="A47" i="1"/>
  <c r="A48" i="1"/>
  <c r="A49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<sst xmlns="http://schemas.openxmlformats.org/spreadsheetml/2006/main" count="224" uniqueCount="105">
  <si>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</si>
  <si>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</si>
  <si>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</si>
  <si>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</si>
  <si>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</si>
  <si>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</si>
  <si>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</si>
  <si>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</si>
  <si>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</si>
  <si>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</si>
  <si>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</si>
  <si>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</si>
  <si>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</si>
  <si>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</si>
  <si>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</si>
  <si>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</si>
  <si>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</si>
  <si>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</si>
  <si>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</si>
  <si>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</si>
  <si>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</si>
  <si>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</si>
  <si>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</si>
  <si>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</si>
  <si>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</si>
  <si>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</si>
  <si>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</si>
  <si>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</si>
  <si>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</si>
  <si>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</si>
  <si>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</si>
  <si>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</si>
  <si>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</si>
  <si>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</si>
  <si>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</si>
  <si>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</si>
  <si>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</si>
  <si>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</si>
  <si>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</si>
  <si>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</si>
  <si>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</si>
  <si>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</si>
  <si>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</si>
  <si>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</si>
  <si>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</si>
  <si>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</si>
  <si>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</si>
  <si>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</si>
  <si>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</si>
  <si>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</si>
  <si>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</si>
  <si>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</si>
  <si>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</si>
  <si>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</si>
  <si>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</si>
  <si>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</si>
  <si>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</si>
  <si>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</si>
  <si>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</si>
  <si>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</si>
  <si>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</si>
  <si>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</si>
  <si>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</si>
  <si>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</si>
  <si>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</si>
  <si>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</si>
  <si>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</si>
  <si>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</si>
  <si>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</si>
  <si>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</si>
  <si>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</si>
  <si>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</si>
  <si>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</si>
  <si>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</si>
  <si>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</si>
  <si>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</si>
  <si>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</si>
  <si>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</si>
  <si>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</si>
  <si>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</si>
  <si>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</si>
  <si>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</si>
  <si>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</si>
  <si>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</si>
  <si>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</si>
  <si>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</si>
  <si>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</si>
  <si>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</si>
  <si>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</si>
  <si>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</si>
  <si>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</si>
  <si>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</si>
  <si>
    <t>Projekt auf Schulpc importieren versucht</t>
  </si>
  <si>
    <t>Diplo weitergeschrieben</t>
  </si>
  <si>
    <t>Diplo schreiben</t>
  </si>
  <si>
    <t>Projekt reparieren</t>
  </si>
  <si>
    <t>Schreiben + Müllberg Szene</t>
  </si>
  <si>
    <t>Müllberg-Szene</t>
  </si>
  <si>
    <t>Schreiben</t>
  </si>
  <si>
    <t>Terrain-Materials verbessert</t>
  </si>
  <si>
    <t>3D-Modelle + Materials +  Texturen für  Szenen</t>
  </si>
  <si>
    <t>Besprechung</t>
  </si>
  <si>
    <t>Terrain + Besprechung</t>
  </si>
  <si>
    <t>Unity + Schreiben</t>
  </si>
  <si>
    <t>Text ausarbeiten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</si>
</sst>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Normal" xfId="0" builtinId="0"/>
    <cellStyle name="Percent" xfId="1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0.98410087719297734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0.95394736842104777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0.77302631578946945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101" totalsRowShown="0" headerRowDxfId="16" dataDxfId="15">
  <autoFilter ref="A1:G101" xr:uid="{730AE997-56E9-481C-8C9C-45C7D9E3EFFC}"/>
  <sortState xmlns:xlrd2="http://schemas.microsoft.com/office/spreadsheetml/2017/richdata2" ref="A2:G93">
    <sortCondition ref="B1:B93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08A664-5C8D-4839-9540-0A075113DA5E}">
  <we:reference id="44446093-b465-4d6c-a6dc-5faf6de98677" version="3.0.0.0" store="EXCatalog" storeType="EXCatalog"/>
  <we:alternateReferences>
    <we:reference id="WA200005271" version="3.0.0.0" store="de-DE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101"/>
  <sheetViews>
    <sheetView tabSelected="1" topLeftCell="A82" zoomScaleNormal="100" workbookViewId="0">
      <selection activeCell="A101" sqref="A101"/>
    </sheetView>
  </sheetViews>
  <sheetFormatPr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3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7.4791666666666661</v>
      </c>
      <c r="N3" s="18">
        <f>M3</f>
        <v>7.4791666666666661</v>
      </c>
      <c r="O3" s="18">
        <f>N3/60</f>
        <v>0.12465277777777777</v>
      </c>
      <c r="P3" s="22">
        <f t="shared" ref="P3:P6" si="1">(O3/180)*100</f>
        <v>6.9251543209876545E-2</v>
      </c>
      <c r="Q3" s="21">
        <f>(P3*1421.05263157894)/100</f>
        <v>0.98410087719297734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2.3333333333333335</v>
      </c>
      <c r="L4" t="s">
        <v>11</v>
      </c>
      <c r="M4" s="11">
        <f>SUM(J5,J8,J9,J11)</f>
        <v>7.25</v>
      </c>
      <c r="N4" s="18">
        <f t="shared" ref="N4:N5" si="2">M4</f>
        <v>7.25</v>
      </c>
      <c r="O4" s="18">
        <f t="shared" ref="O4:O5" si="3">N4/60</f>
        <v>0.12083333333333333</v>
      </c>
      <c r="P4" s="22">
        <f t="shared" si="1"/>
        <v>6.7129629629629636E-2</v>
      </c>
      <c r="Q4" s="21">
        <f t="shared" ref="Q4:Q5" si="4">(P4*1421.05263157894)/100</f>
        <v>0.95394736842104777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2.875</v>
      </c>
      <c r="L5" t="s">
        <v>9</v>
      </c>
      <c r="M5" s="11">
        <f>SUM(J3,J7,J9,J11)</f>
        <v>5.8749999999999982</v>
      </c>
      <c r="N5" s="18">
        <f t="shared" si="2"/>
        <v>5.8749999999999982</v>
      </c>
      <c r="O5" s="18">
        <f t="shared" si="3"/>
        <v>9.7916666666666638E-2</v>
      </c>
      <c r="P5" s="22">
        <f t="shared" si="1"/>
        <v>5.4398148148148133E-2</v>
      </c>
      <c r="Q5" s="21">
        <f t="shared" si="4"/>
        <v>0.77302631578946945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SUM(F2:F101)</f>
        <v>11.875000000000004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285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3.5833333333333326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</row>
    <row r="15" spans="1:17" x14ac:dyDescent="0.25">
      <c r="A15" s="2" t="str">
        <f t="shared" si="0"/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17" x14ac:dyDescent="0.25">
      <c r="A16" s="2" t="str">
        <f t="shared" si="0"/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 t="shared" si="0"/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 t="shared" si="0"/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 t="shared" si="0"/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 t="shared" si="0"/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 t="shared" si="0"/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 t="shared" si="0"/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 t="shared" si="0"/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 t="shared" si="0"/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 t="shared" si="0"/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 t="shared" si="0"/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 t="shared" si="0"/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 t="shared" si="0"/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 t="shared" si="0"/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 t="shared" si="0"/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 t="shared" si="0"/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 t="shared" si="0"/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 t="shared" ref="A34:A65" si="5"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 t="shared" si="5"/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 t="shared" si="5"/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 t="shared" si="5"/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 t="shared" si="5"/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 t="shared" si="5"/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 t="shared" si="5"/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 t="shared" si="5"/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 t="shared" si="5"/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 t="shared" si="5"/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 t="shared" si="5"/>
        <v>Sa.</v>
      </c>
      <c r="B44" s="3">
        <v>46025</v>
      </c>
      <c r="C44" s="2" t="s">
        <v>99</v>
      </c>
      <c r="D44" s="4">
        <v>0.41666666666666669</v>
      </c>
      <c r="E44" s="4">
        <v>0.58333333333333337</v>
      </c>
      <c r="F44" s="5">
        <f>IF(E44&gt;D44,E44-D44,IF(ISNUMBER(Stundenliste[[#This Row],[Von]]),"24:00"-(D44-E44),""))</f>
        <v>0.16666666666666669</v>
      </c>
      <c r="G44" s="2" t="s">
        <v>11</v>
      </c>
    </row>
    <row r="45" spans="1:7" x14ac:dyDescent="0.25">
      <c r="A45" s="2" t="str">
        <f t="shared" si="5"/>
        <v>So.</v>
      </c>
      <c r="B45" s="3">
        <v>46026</v>
      </c>
      <c r="C45" s="2" t="s">
        <v>46</v>
      </c>
      <c r="D45" s="4">
        <v>0.70833333333333337</v>
      </c>
      <c r="E45" s="4">
        <v>0.875</v>
      </c>
      <c r="F45" s="12">
        <f>IF(E45&gt;D45,E45-D45,IF(ISNUMBER(Stundenliste[[#This Row],[Von]]),"24:00"-(D45-E45),""))</f>
        <v>0.16666666666666663</v>
      </c>
      <c r="G45" s="2" t="s">
        <v>7</v>
      </c>
    </row>
    <row r="46" spans="1:7" x14ac:dyDescent="0.25">
      <c r="A46" s="2" t="str">
        <f t="shared" si="5"/>
        <v>So.</v>
      </c>
      <c r="B46" s="3">
        <v>46026</v>
      </c>
      <c r="C46" s="2" t="s">
        <v>100</v>
      </c>
      <c r="D46" s="4">
        <v>0.58333333333333337</v>
      </c>
      <c r="E46" s="4">
        <v>0.75</v>
      </c>
      <c r="F46" s="5">
        <f>IF(E46&gt;D46,E46-D46,IF(ISNUMBER(Stundenliste[[#This Row],[Von]]),"24:00"-(D46-E46),""))</f>
        <v>0.16666666666666663</v>
      </c>
      <c r="G46" s="2" t="s">
        <v>11</v>
      </c>
    </row>
    <row r="47" spans="1:7" x14ac:dyDescent="0.25">
      <c r="A47" s="2" t="str">
        <f t="shared" si="5"/>
        <v>Fr.</v>
      </c>
      <c r="B47" s="3">
        <v>46031</v>
      </c>
      <c r="C47" s="2" t="s">
        <v>47</v>
      </c>
      <c r="D47" s="4">
        <v>0.30902777777777779</v>
      </c>
      <c r="E47" s="4">
        <v>0.35069444444444442</v>
      </c>
      <c r="F47" s="12">
        <f>IF(E47&gt;D47,E47-D47,IF(ISNUMBER(Stundenliste[[#This Row],[Von]]),"24:00"-(D47-E47),""))</f>
        <v>4.166666666666663E-2</v>
      </c>
      <c r="G47" s="2" t="s">
        <v>7</v>
      </c>
    </row>
    <row r="48" spans="1:7" x14ac:dyDescent="0.25">
      <c r="A48" s="2" t="str">
        <f t="shared" si="5"/>
        <v>Fr.</v>
      </c>
      <c r="B48" s="3">
        <v>46038</v>
      </c>
      <c r="C48" s="2" t="s">
        <v>50</v>
      </c>
      <c r="D48" s="4">
        <v>0.66666666666666663</v>
      </c>
      <c r="E48" s="4">
        <v>0.83333333333333337</v>
      </c>
      <c r="F48" s="12">
        <f>IF(E48&gt;D48,E48-D48,IF(ISNUMBER(Stundenliste[[#This Row],[Von]]),"24:00"-(D48-E48),""))</f>
        <v>0.16666666666666674</v>
      </c>
      <c r="G48" s="2" t="s">
        <v>7</v>
      </c>
    </row>
    <row r="49" spans="1:7" x14ac:dyDescent="0.25">
      <c r="A49" s="2" t="str">
        <f t="shared" si="5"/>
        <v>Sa.</v>
      </c>
      <c r="B49" s="3">
        <v>46039</v>
      </c>
      <c r="C49" s="2" t="s">
        <v>51</v>
      </c>
      <c r="D49" s="4">
        <v>0.66666666666666663</v>
      </c>
      <c r="E49" s="4">
        <v>0.83333333333333337</v>
      </c>
      <c r="F49" s="12">
        <f>IF(E49&gt;D49,E49-D49,IF(ISNUMBER(Stundenliste[[#This Row],[Von]]),"24:00"-(D49-E49),""))</f>
        <v>0.16666666666666674</v>
      </c>
      <c r="G49" s="2" t="s">
        <v>10</v>
      </c>
    </row>
    <row r="50" spans="1:7" x14ac:dyDescent="0.25">
      <c r="A50" s="2" t="str">
        <f t="shared" si="5"/>
        <v>Di.</v>
      </c>
      <c r="B50" s="3">
        <v>46042</v>
      </c>
      <c r="C50" s="2" t="s">
        <v>52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 t="shared" si="5"/>
        <v>Mi.</v>
      </c>
      <c r="B51" s="3">
        <v>46050</v>
      </c>
      <c r="C51" s="2" t="s">
        <v>88</v>
      </c>
      <c r="D51" s="4">
        <v>0.72222222222222221</v>
      </c>
      <c r="E51" s="4">
        <v>0.76388888888888884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 t="shared" si="5"/>
        <v>Mi.</v>
      </c>
      <c r="B52" s="3">
        <v>46057</v>
      </c>
      <c r="C52" s="2" t="s">
        <v>53</v>
      </c>
      <c r="D52" s="4">
        <v>0.91666666666666663</v>
      </c>
      <c r="E52" s="17">
        <v>1</v>
      </c>
      <c r="F52" s="12">
        <f>IF(E52&gt;D52,E52-D52,IF(ISNUMBER(Stundenliste[[#This Row],[Von]]),"24:00"-(D52-E52),""))</f>
        <v>8.333333333333337E-2</v>
      </c>
      <c r="G52" s="2" t="s">
        <v>10</v>
      </c>
    </row>
    <row r="53" spans="1:7" x14ac:dyDescent="0.25">
      <c r="A53" s="2" t="str">
        <f t="shared" si="5"/>
        <v>Mo.</v>
      </c>
      <c r="B53" s="3">
        <v>46062</v>
      </c>
      <c r="C53" s="2" t="s">
        <v>56</v>
      </c>
      <c r="D53" s="4">
        <v>0.70833333333333337</v>
      </c>
      <c r="E53" s="4">
        <v>0.75</v>
      </c>
      <c r="F53" s="12">
        <f>IF(E53&gt;D53,E53-D53,IF(ISNUMBER(Stundenliste[[#This Row],[Von]]),"24:00"-(D53-E53),""))</f>
        <v>4.166666666666663E-2</v>
      </c>
      <c r="G53" s="2" t="s">
        <v>10</v>
      </c>
    </row>
    <row r="54" spans="1:7" x14ac:dyDescent="0.25">
      <c r="A54" s="2" t="str">
        <f t="shared" si="5"/>
        <v>Sa.</v>
      </c>
      <c r="B54" s="3">
        <v>46067</v>
      </c>
      <c r="C54" s="2" t="s">
        <v>54</v>
      </c>
      <c r="D54" s="4">
        <v>0.66666666666666663</v>
      </c>
      <c r="E54" s="4">
        <v>0.875</v>
      </c>
      <c r="F54" s="12">
        <f>IF(E54&gt;D54,E54-D54,IF(ISNUMBER(Stundenliste[[#This Row],[Von]]),"24:00"-(D54-E54),""))</f>
        <v>0.20833333333333337</v>
      </c>
      <c r="G54" s="2" t="s">
        <v>13</v>
      </c>
    </row>
    <row r="55" spans="1:7" x14ac:dyDescent="0.25">
      <c r="A55" s="2" t="str">
        <f t="shared" si="5"/>
        <v>Sa.</v>
      </c>
      <c r="B55" s="3">
        <v>46067</v>
      </c>
      <c r="C55" s="2" t="s">
        <v>55</v>
      </c>
      <c r="D55" s="4">
        <v>0.58333333333333337</v>
      </c>
      <c r="E55" s="4">
        <v>0.75</v>
      </c>
      <c r="F55" s="12">
        <f>IF(E55&gt;D55,E55-D55,IF(ISNUMBER(Stundenliste[[#This Row],[Von]]),"24:00"-(D55-E55),""))</f>
        <v>0.16666666666666663</v>
      </c>
      <c r="G55" s="2" t="s">
        <v>9</v>
      </c>
    </row>
    <row r="56" spans="1:7" x14ac:dyDescent="0.25">
      <c r="A56" s="2" t="str">
        <f t="shared" si="5"/>
        <v>Sa.</v>
      </c>
      <c r="B56" s="3">
        <v>46067</v>
      </c>
      <c r="C56" s="2" t="s">
        <v>55</v>
      </c>
      <c r="D56" s="4">
        <v>0.58333333333333337</v>
      </c>
      <c r="E56" s="4">
        <v>0.75</v>
      </c>
      <c r="F56" s="12">
        <f>IF(E56&gt;D56,E56-D56,IF(ISNUMBER(Stundenliste[[#This Row],[Von]]),"24:00"-(D56-E56),""))</f>
        <v>0.16666666666666663</v>
      </c>
      <c r="G56" s="2" t="s">
        <v>9</v>
      </c>
    </row>
    <row r="57" spans="1:7" x14ac:dyDescent="0.25">
      <c r="A57" s="2" t="str">
        <f t="shared" si="5"/>
        <v>Fr.</v>
      </c>
      <c r="B57" s="3">
        <v>46073</v>
      </c>
      <c r="C57" s="2" t="s">
        <v>57</v>
      </c>
      <c r="D57" s="4">
        <v>0.54166666666666663</v>
      </c>
      <c r="E57" s="4">
        <v>0.66666666666666663</v>
      </c>
      <c r="F57" s="12">
        <f>IF(E57&gt;D57,E57-D57,IF(ISNUMBER(Stundenliste[[#This Row],[Von]]),"24:00"-(D57-E57),""))</f>
        <v>0.125</v>
      </c>
      <c r="G57" s="2" t="s">
        <v>9</v>
      </c>
    </row>
    <row r="58" spans="1:7" x14ac:dyDescent="0.25">
      <c r="A58" s="2" t="str">
        <f t="shared" si="5"/>
        <v>Sa.</v>
      </c>
      <c r="B58" s="3">
        <v>46074</v>
      </c>
      <c r="C58" s="2" t="s">
        <v>58</v>
      </c>
      <c r="D58" s="4">
        <v>0.75</v>
      </c>
      <c r="E58" s="4">
        <v>0</v>
      </c>
      <c r="F58" s="12">
        <f>IF(E58&gt;D58,E58-D58,IF(ISNUMBER(Stundenliste[[#This Row],[Von]]),"24:00"-(D58-E58),""))</f>
        <v>0.25</v>
      </c>
      <c r="G58" s="2" t="s">
        <v>7</v>
      </c>
    </row>
    <row r="59" spans="1:7" x14ac:dyDescent="0.25">
      <c r="A59" s="2" t="str">
        <f t="shared" si="5"/>
        <v>Di.</v>
      </c>
      <c r="B59" s="3">
        <v>46077</v>
      </c>
      <c r="C59" s="2" t="s">
        <v>59</v>
      </c>
      <c r="D59" s="4">
        <v>0.75</v>
      </c>
      <c r="E59" s="4">
        <v>0.8125</v>
      </c>
      <c r="F59" s="5">
        <f>IF(E59&gt;D59,E59-D59,IF(ISNUMBER(Stundenliste[[#This Row],[Von]]),"24:00"-(D59-E59),""))</f>
        <v>6.25E-2</v>
      </c>
      <c r="G59" s="2" t="s">
        <v>9</v>
      </c>
    </row>
    <row r="60" spans="1:7" x14ac:dyDescent="0.25">
      <c r="A60" s="2" t="str">
        <f t="shared" si="5"/>
        <v>Fr.</v>
      </c>
      <c r="B60" s="3">
        <v>46080</v>
      </c>
      <c r="C60" s="2" t="s">
        <v>60</v>
      </c>
      <c r="D60" s="4">
        <v>0.375</v>
      </c>
      <c r="E60" s="4">
        <v>0.41666666666666669</v>
      </c>
      <c r="F60" s="5">
        <f>IF(E60&gt;D60,E60-D60,IF(ISNUMBER(Stundenliste[[#This Row],[Von]]),"24:00"-(D60-E60),""))</f>
        <v>4.1666666666666685E-2</v>
      </c>
      <c r="G60" s="2" t="s">
        <v>13</v>
      </c>
    </row>
    <row r="61" spans="1:7" x14ac:dyDescent="0.25">
      <c r="A61" s="2" t="str">
        <f t="shared" si="5"/>
        <v>Fr.</v>
      </c>
      <c r="B61" s="3">
        <v>46080</v>
      </c>
      <c r="C61" s="2" t="s">
        <v>61</v>
      </c>
      <c r="D61" s="4">
        <v>0.39583333333333331</v>
      </c>
      <c r="E61" s="4">
        <v>0.41666666666666669</v>
      </c>
      <c r="F61" s="5">
        <f>IF(E61&gt;D61,E61-D61,IF(ISNUMBER(Stundenliste[[#This Row],[Von]]),"24:00"-(D61-E61),""))</f>
        <v>2.083333333333337E-2</v>
      </c>
      <c r="G61" s="2" t="s">
        <v>9</v>
      </c>
    </row>
    <row r="62" spans="1:7" x14ac:dyDescent="0.25">
      <c r="A62" s="2" t="str">
        <f t="shared" si="5"/>
        <v>Fr.</v>
      </c>
      <c r="B62" s="3">
        <v>46080</v>
      </c>
      <c r="C62" s="2" t="s">
        <v>62</v>
      </c>
      <c r="D62" s="4">
        <v>0.63541666666666663</v>
      </c>
      <c r="E62" s="4">
        <v>0.69791666666666663</v>
      </c>
      <c r="F62" s="5">
        <f>IF(E62&gt;D62,E62-D62,IF(ISNUMBER(Stundenliste[[#This Row],[Von]]),"24:00"-(D62-E62),""))</f>
        <v>6.25E-2</v>
      </c>
      <c r="G62" s="2" t="s">
        <v>10</v>
      </c>
    </row>
    <row r="63" spans="1:7" x14ac:dyDescent="0.25">
      <c r="A63" s="2" t="str">
        <f t="shared" si="5"/>
        <v>Fr.</v>
      </c>
      <c r="B63" s="3">
        <v>46080</v>
      </c>
      <c r="C63" s="2" t="s">
        <v>63</v>
      </c>
      <c r="D63" s="4">
        <v>0.97916666666666663</v>
      </c>
      <c r="E63" s="4">
        <v>4.1666666666666664E-2</v>
      </c>
      <c r="F63" s="5">
        <f>IF(E63&gt;D63,E63-D63,IF(ISNUMBER(Stundenliste[[#This Row],[Von]]),"24:00"-(D63-E63),""))</f>
        <v>6.25E-2</v>
      </c>
      <c r="G63" s="2" t="s">
        <v>10</v>
      </c>
    </row>
    <row r="64" spans="1:7" x14ac:dyDescent="0.25">
      <c r="A64" s="2" t="str">
        <f t="shared" si="5"/>
        <v>Sa.</v>
      </c>
      <c r="B64" s="3">
        <v>46081</v>
      </c>
      <c r="C64" s="2" t="s">
        <v>64</v>
      </c>
      <c r="D64" s="4">
        <v>0.41666666666666669</v>
      </c>
      <c r="E64" s="4">
        <v>0.6875</v>
      </c>
      <c r="F64" s="5">
        <f>IF(E64&gt;D64,E64-D64,IF(ISNUMBER(Stundenliste[[#This Row],[Von]]),"24:00"-(D64-E64),""))</f>
        <v>0.27083333333333331</v>
      </c>
      <c r="G64" s="2" t="s">
        <v>12</v>
      </c>
    </row>
    <row r="65" spans="1:7" x14ac:dyDescent="0.25">
      <c r="A65" s="2" t="str">
        <f t="shared" si="5"/>
        <v>So.</v>
      </c>
      <c r="B65" s="3">
        <v>46082</v>
      </c>
      <c r="C65" s="2" t="s">
        <v>72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11</v>
      </c>
    </row>
    <row r="66" spans="1:7" x14ac:dyDescent="0.25">
      <c r="A66" s="2" t="str">
        <f t="shared" ref="A66:A93" si="6">IF(ISNUMBER(B66),LEFT(TEXT(B66,"TTTT"),2)&amp;".","")</f>
        <v>So.</v>
      </c>
      <c r="B66" s="3">
        <v>46082</v>
      </c>
      <c r="C66" s="2" t="s">
        <v>73</v>
      </c>
      <c r="D66" s="4">
        <v>0.45833333333333331</v>
      </c>
      <c r="E66" s="4">
        <v>0.70833333333333337</v>
      </c>
      <c r="F66" s="5">
        <f>IF(E66&gt;D66,E66-D66,IF(ISNUMBER(Stundenliste[[#This Row],[Von]]),"24:00"-(D66-E66),""))</f>
        <v>0.25000000000000006</v>
      </c>
      <c r="G66" s="2" t="s">
        <v>10</v>
      </c>
    </row>
    <row r="67" spans="1:7" x14ac:dyDescent="0.25">
      <c r="A67" s="2" t="str">
        <f t="shared" si="6"/>
        <v>So.</v>
      </c>
      <c r="B67" s="3">
        <v>46082</v>
      </c>
      <c r="C67" s="2" t="s">
        <v>74</v>
      </c>
      <c r="D67" s="4">
        <v>0.45833333333333331</v>
      </c>
      <c r="E67" s="4">
        <v>0.70833333333333337</v>
      </c>
      <c r="F67" s="5">
        <f>IF(E67&gt;D67,E67-D67,IF(ISNUMBER(Stundenliste[[#This Row],[Von]]),"24:00"-(D67-E67),""))</f>
        <v>0.25000000000000006</v>
      </c>
      <c r="G67" s="2" t="s">
        <v>9</v>
      </c>
    </row>
    <row r="68" spans="1:7" x14ac:dyDescent="0.25">
      <c r="A68" s="2" t="str">
        <f t="shared" si="6"/>
        <v>So.</v>
      </c>
      <c r="B68" s="3">
        <v>46082</v>
      </c>
      <c r="C68" s="2" t="s">
        <v>75</v>
      </c>
      <c r="D68" s="4">
        <v>0.29166666666666669</v>
      </c>
      <c r="E68" s="4">
        <v>0.41666666666666669</v>
      </c>
      <c r="F68" s="5">
        <f>IF(E68&gt;D68,E68-D68,IF(ISNUMBER(Stundenliste[[#This Row],[Von]]),"24:00"-(D68-E68),""))</f>
        <v>0.125</v>
      </c>
      <c r="G68" s="2" t="s">
        <v>9</v>
      </c>
    </row>
    <row r="69" spans="1:7" x14ac:dyDescent="0.25">
      <c r="A69" s="2" t="str">
        <f t="shared" si="6"/>
        <v>Mo.</v>
      </c>
      <c r="B69" s="3">
        <v>46083</v>
      </c>
      <c r="C69" s="2" t="s">
        <v>76</v>
      </c>
      <c r="D69" s="4">
        <v>0.33333333333333331</v>
      </c>
      <c r="E69" s="4">
        <v>0.375</v>
      </c>
      <c r="F69" s="5">
        <f>IF(E69&gt;D69,E69-D69,IF(ISNUMBER(Stundenliste[[#This Row],[Von]]),"24:00"-(D69-E69),""))</f>
        <v>4.1666666666666685E-2</v>
      </c>
      <c r="G69" s="2" t="s">
        <v>7</v>
      </c>
    </row>
    <row r="70" spans="1:7" x14ac:dyDescent="0.25">
      <c r="A70" s="2" t="str">
        <f t="shared" si="6"/>
        <v>Mo.</v>
      </c>
      <c r="B70" s="3">
        <v>46083</v>
      </c>
      <c r="C70" s="2" t="s">
        <v>77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6"/>
        <v>Di.</v>
      </c>
      <c r="B71" s="3">
        <v>46084</v>
      </c>
      <c r="C71" s="2" t="s">
        <v>82</v>
      </c>
      <c r="D71" s="4">
        <v>0.49305555555555558</v>
      </c>
      <c r="E71" s="4">
        <v>0.53472222222222221</v>
      </c>
      <c r="F71" s="5">
        <f>IF(E71&gt;D71,E71-D71,IF(ISNUMBER(Stundenliste[[#This Row],[Von]]),"24:00"-(D71-E71),""))</f>
        <v>4.166666666666663E-2</v>
      </c>
      <c r="G71" s="2" t="s">
        <v>7</v>
      </c>
    </row>
    <row r="72" spans="1:7" x14ac:dyDescent="0.25">
      <c r="A72" s="2" t="str">
        <f t="shared" si="6"/>
        <v>Di.</v>
      </c>
      <c r="B72" s="3">
        <v>46084</v>
      </c>
      <c r="C72" s="2" t="s">
        <v>78</v>
      </c>
      <c r="D72" s="4">
        <v>0.625</v>
      </c>
      <c r="E72" s="4">
        <v>0.70833333333333337</v>
      </c>
      <c r="F72" s="5">
        <f>IF(E72&gt;D72,E72-D72,IF(ISNUMBER(Stundenliste[[#This Row],[Von]]),"24:00"-(D72-E72),""))</f>
        <v>8.333333333333337E-2</v>
      </c>
      <c r="G72" s="2" t="s">
        <v>10</v>
      </c>
    </row>
    <row r="73" spans="1:7" x14ac:dyDescent="0.25">
      <c r="A73" s="2" t="str">
        <f t="shared" si="6"/>
        <v>Mi.</v>
      </c>
      <c r="B73" s="3">
        <v>46085</v>
      </c>
      <c r="C73" s="2" t="s">
        <v>79</v>
      </c>
      <c r="D73" s="4">
        <v>0.625</v>
      </c>
      <c r="E73" s="4">
        <v>0.70833333333333337</v>
      </c>
      <c r="F73" s="5">
        <f>IF(E73&gt;D73,E73-D73,IF(ISNUMBER(Stundenliste[[#This Row],[Von]]),"24:00"-(D73-E73),""))</f>
        <v>8.333333333333337E-2</v>
      </c>
      <c r="G73" s="2" t="s">
        <v>10</v>
      </c>
    </row>
    <row r="74" spans="1:7" x14ac:dyDescent="0.25">
      <c r="A74" s="2" t="str">
        <f t="shared" si="6"/>
        <v>Mi.</v>
      </c>
      <c r="B74" s="3">
        <v>46085</v>
      </c>
      <c r="C74" s="2" t="s">
        <v>80</v>
      </c>
      <c r="D74" s="4">
        <v>0.4861111111111111</v>
      </c>
      <c r="E74" s="4">
        <v>0.52777777777777779</v>
      </c>
      <c r="F74" s="5">
        <f>IF(E74&gt;D74,E74-D74,IF(ISNUMBER(Stundenliste[[#This Row],[Von]]),"24:00"-(D74-E74),""))</f>
        <v>4.1666666666666685E-2</v>
      </c>
      <c r="G74" s="2" t="s">
        <v>7</v>
      </c>
    </row>
    <row r="75" spans="1:7" x14ac:dyDescent="0.25">
      <c r="A75" s="2" t="str">
        <f t="shared" si="6"/>
        <v>Mi.</v>
      </c>
      <c r="B75" s="3">
        <v>46085</v>
      </c>
      <c r="C75" s="2" t="s">
        <v>81</v>
      </c>
      <c r="D75" s="4">
        <v>0.83333333333333337</v>
      </c>
      <c r="E75" s="4">
        <v>0.91666666666666663</v>
      </c>
      <c r="F75" s="5">
        <f>IF(E75&gt;D75,E75-D75,IF(ISNUMBER(Stundenliste[[#This Row],[Von]]),"24:00"-(D75-E75),""))</f>
        <v>8.3333333333333259E-2</v>
      </c>
      <c r="G75" s="2" t="s">
        <v>11</v>
      </c>
    </row>
    <row r="76" spans="1:7" x14ac:dyDescent="0.25">
      <c r="A76" s="2" t="str">
        <f t="shared" si="6"/>
        <v>Do.</v>
      </c>
      <c r="B76" s="3">
        <v>46086</v>
      </c>
      <c r="C76" s="2" t="s">
        <v>83</v>
      </c>
      <c r="D76" s="4">
        <v>0.45833333333333331</v>
      </c>
      <c r="E76" s="4">
        <v>0.54166666666666663</v>
      </c>
      <c r="F76" s="5">
        <f>IF(E76&gt;D76,E76-D76,IF(ISNUMBER(Stundenliste[[#This Row],[Von]]),"24:00"-(D76-E76),""))</f>
        <v>8.3333333333333315E-2</v>
      </c>
      <c r="G76" s="2" t="s">
        <v>7</v>
      </c>
    </row>
    <row r="77" spans="1:7" x14ac:dyDescent="0.25">
      <c r="A77" s="2" t="str">
        <f t="shared" si="6"/>
        <v>Do.</v>
      </c>
      <c r="B77" s="3">
        <v>46086</v>
      </c>
      <c r="C77" s="2" t="s">
        <v>84</v>
      </c>
      <c r="D77" s="4">
        <v>0.75</v>
      </c>
      <c r="E77" s="4">
        <v>0.875</v>
      </c>
      <c r="F77" s="5">
        <f>IF(E77&gt;D77,E77-D77,IF(ISNUMBER(Stundenliste[[#This Row],[Von]]),"24:00"-(D77-E77),""))</f>
        <v>0.125</v>
      </c>
      <c r="G77" s="2" t="s">
        <v>11</v>
      </c>
    </row>
    <row r="78" spans="1:7" x14ac:dyDescent="0.25">
      <c r="A78" s="2" t="str">
        <f t="shared" si="6"/>
        <v>Fr.</v>
      </c>
      <c r="B78" s="3">
        <v>46087</v>
      </c>
      <c r="C78" s="2" t="s">
        <v>85</v>
      </c>
      <c r="D78" s="4">
        <v>0.75</v>
      </c>
      <c r="E78" s="4">
        <v>0.875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 t="shared" si="6"/>
        <v>Sa.</v>
      </c>
      <c r="B79" s="3">
        <v>46088</v>
      </c>
      <c r="C79" s="2" t="s">
        <v>86</v>
      </c>
      <c r="D79" s="4">
        <v>0.625</v>
      </c>
      <c r="E79" s="4">
        <v>0.70833333333333337</v>
      </c>
      <c r="F79" s="5">
        <f>IF(E79&gt;D79,E79-D79,IF(ISNUMBER(Stundenliste[[#This Row],[Von]]),"24:00"-(D79-E79),""))</f>
        <v>8.333333333333337E-2</v>
      </c>
      <c r="G79" s="2" t="s">
        <v>11</v>
      </c>
    </row>
    <row r="80" spans="1:7" x14ac:dyDescent="0.25">
      <c r="A80" s="2" t="str">
        <f t="shared" si="6"/>
        <v>So.</v>
      </c>
      <c r="B80" s="3">
        <v>46089</v>
      </c>
      <c r="C80" s="2" t="s">
        <v>87</v>
      </c>
      <c r="D80" s="4">
        <v>0.70833333333333337</v>
      </c>
      <c r="E80" s="4">
        <v>0.83333333333333337</v>
      </c>
      <c r="F80" s="5">
        <f>IF(E80&gt;D80,E80-D80,IF(ISNUMBER(Stundenliste[[#This Row],[Von]]),"24:00"-(D80-E80),""))</f>
        <v>0.125</v>
      </c>
      <c r="G80" s="2" t="s">
        <v>11</v>
      </c>
    </row>
    <row r="81" spans="1:7" x14ac:dyDescent="0.25">
      <c r="A81" s="2" t="str">
        <f t="shared" si="6"/>
        <v>Mo.</v>
      </c>
      <c r="B81" s="3">
        <v>46090</v>
      </c>
      <c r="C81" s="2" t="s">
        <v>89</v>
      </c>
      <c r="D81" s="4">
        <v>0.33333333333333331</v>
      </c>
      <c r="E81" s="4">
        <v>0.375</v>
      </c>
      <c r="F81" s="5">
        <f>IF(E81&gt;D81,E81-D81,IF(ISNUMBER(Stundenliste[[#This Row],[Von]]),"24:00"-(D81-E81),""))</f>
        <v>4.1666666666666685E-2</v>
      </c>
      <c r="G81" s="2" t="s">
        <v>13</v>
      </c>
    </row>
    <row r="82" spans="1:7" x14ac:dyDescent="0.25">
      <c r="A82" s="2" t="str">
        <f t="shared" si="6"/>
        <v>Mo.</v>
      </c>
      <c r="B82" s="3">
        <v>46090</v>
      </c>
      <c r="C82" s="2" t="s">
        <v>90</v>
      </c>
      <c r="D82" s="4">
        <v>0.375</v>
      </c>
      <c r="E82" s="4">
        <v>0.3888888888888889</v>
      </c>
      <c r="F82" s="5">
        <f>IF(E82&gt;D82,E82-D82,IF(ISNUMBER(Stundenliste[[#This Row],[Von]]),"24:00"-(D82-E82),""))</f>
        <v>1.3888888888888895E-2</v>
      </c>
      <c r="G82" s="2" t="s">
        <v>11</v>
      </c>
    </row>
    <row r="83" spans="1:7" x14ac:dyDescent="0.25">
      <c r="A83" s="2" t="str">
        <f t="shared" si="6"/>
        <v>Mo.</v>
      </c>
      <c r="B83" s="3">
        <v>46090</v>
      </c>
      <c r="C83" s="2" t="s">
        <v>91</v>
      </c>
      <c r="D83" s="4">
        <v>0.77083333333333337</v>
      </c>
      <c r="E83" s="4">
        <v>0.89583333333333337</v>
      </c>
      <c r="F83" s="5">
        <f>IF(E83&gt;D83,E83-D83,IF(ISNUMBER(Stundenliste[[#This Row],[Von]]),"24:00"-(D83-E83),""))</f>
        <v>0.125</v>
      </c>
      <c r="G83" s="2" t="s">
        <v>11</v>
      </c>
    </row>
    <row r="84" spans="1:7" x14ac:dyDescent="0.25">
      <c r="A84" s="2" t="str">
        <f t="shared" si="6"/>
        <v>Di.</v>
      </c>
      <c r="B84" s="3">
        <v>46091</v>
      </c>
      <c r="C84" s="2" t="s">
        <v>94</v>
      </c>
      <c r="D84" s="4">
        <v>0.6875</v>
      </c>
      <c r="E84" s="4">
        <v>0.77083333333333337</v>
      </c>
      <c r="F84" s="5">
        <f>IF(E84&gt;D84,E84-D84,IF(ISNUMBER(Stundenliste[[#This Row],[Von]]),"24:00"-(D84-E84),""))</f>
        <v>8.333333333333337E-2</v>
      </c>
      <c r="G84" s="2" t="s">
        <v>10</v>
      </c>
    </row>
    <row r="85" spans="1:7" x14ac:dyDescent="0.25">
      <c r="A85" s="2" t="str">
        <f t="shared" si="6"/>
        <v>Di.</v>
      </c>
      <c r="B85" s="3">
        <v>46091</v>
      </c>
      <c r="C85" s="2" t="s">
        <v>96</v>
      </c>
      <c r="D85" s="4">
        <v>0.625</v>
      </c>
      <c r="E85" s="4">
        <v>0.75</v>
      </c>
      <c r="F85" s="5">
        <f>IF(E85&gt;D85,E85-D85,IF(ISNUMBER(Stundenliste[[#This Row],[Von]]),"24:00"-(D85-E85),""))</f>
        <v>0.125</v>
      </c>
      <c r="G85" s="2" t="s">
        <v>11</v>
      </c>
    </row>
    <row r="86" spans="1:7" x14ac:dyDescent="0.25">
      <c r="A86" s="2" t="str">
        <f t="shared" si="6"/>
        <v>Mi.</v>
      </c>
      <c r="B86" s="3">
        <v>46092</v>
      </c>
      <c r="C86" s="2" t="s">
        <v>94</v>
      </c>
      <c r="D86" s="4">
        <v>0.71875</v>
      </c>
      <c r="E86" s="4">
        <v>0.76041666666666663</v>
      </c>
      <c r="F86" s="5">
        <f>IF(E86&gt;D86,E86-D86,IF(ISNUMBER(Stundenliste[[#This Row],[Von]]),"24:00"-(D86-E86),""))</f>
        <v>4.166666666666663E-2</v>
      </c>
      <c r="G86" s="2" t="s">
        <v>10</v>
      </c>
    </row>
    <row r="87" spans="1:7" x14ac:dyDescent="0.25">
      <c r="A87" s="2" t="str">
        <f t="shared" si="6"/>
        <v>Mi.</v>
      </c>
      <c r="B87" s="3">
        <v>46092</v>
      </c>
      <c r="C87" s="2" t="s">
        <v>97</v>
      </c>
      <c r="D87" s="4">
        <v>0.75</v>
      </c>
      <c r="E87" s="4">
        <v>0.83333333333333337</v>
      </c>
      <c r="F87" s="5">
        <f>IF(E87&gt;D87,E87-D87,IF(ISNUMBER(Stundenliste[[#This Row],[Von]]),"24:00"-(D87-E87),""))</f>
        <v>8.333333333333337E-2</v>
      </c>
      <c r="G87" s="2" t="s">
        <v>11</v>
      </c>
    </row>
    <row r="88" spans="1:7" x14ac:dyDescent="0.25">
      <c r="A88" s="2" t="str">
        <f t="shared" si="6"/>
        <v>Do.</v>
      </c>
      <c r="B88" s="3">
        <v>46093</v>
      </c>
      <c r="C88" s="2" t="s">
        <v>98</v>
      </c>
      <c r="D88" s="4">
        <v>0.70833333333333337</v>
      </c>
      <c r="E88" s="4">
        <v>0.83333333333333337</v>
      </c>
      <c r="F88" s="5">
        <f>IF(E88&gt;D88,E88-D88,IF(ISNUMBER(Stundenliste[[#This Row],[Von]]),"24:00"-(D88-E88),""))</f>
        <v>0.125</v>
      </c>
      <c r="G88" s="2" t="s">
        <v>11</v>
      </c>
    </row>
    <row r="89" spans="1:7" x14ac:dyDescent="0.25">
      <c r="A89" s="2" t="str">
        <f t="shared" si="6"/>
        <v>Fr.</v>
      </c>
      <c r="B89" s="3">
        <v>46094</v>
      </c>
      <c r="C89" s="2" t="s">
        <v>93</v>
      </c>
      <c r="D89" s="4">
        <v>0.91666666666666663</v>
      </c>
      <c r="E89" s="4">
        <v>0.125</v>
      </c>
      <c r="F89" s="5">
        <f>IF(E89&gt;D89,E89-D89,IF(ISNUMBER(Stundenliste[[#This Row],[Von]]),"24:00"-(D89-E89),""))</f>
        <v>0.20833333333333337</v>
      </c>
      <c r="G89" s="2" t="s">
        <v>7</v>
      </c>
    </row>
    <row r="90" spans="1:7" x14ac:dyDescent="0.25">
      <c r="A90" s="2" t="str">
        <f t="shared" si="6"/>
        <v>Sa.</v>
      </c>
      <c r="B90" s="3">
        <v>46095</v>
      </c>
      <c r="C90" s="2" t="s">
        <v>92</v>
      </c>
      <c r="D90" s="4">
        <v>0.79166666666666663</v>
      </c>
      <c r="E90" s="4">
        <v>0.95833333333333337</v>
      </c>
      <c r="F90" s="5">
        <f>IF(E90&gt;D90,E90-D90,IF(ISNUMBER(Stundenliste[[#This Row],[Von]]),"24:00"-(D90-E90),""))</f>
        <v>0.16666666666666674</v>
      </c>
      <c r="G90" s="2" t="s">
        <v>7</v>
      </c>
    </row>
    <row r="91" spans="1:7" x14ac:dyDescent="0.25">
      <c r="A91" s="2" t="str">
        <f t="shared" si="6"/>
        <v>Sa.</v>
      </c>
      <c r="B91" s="3">
        <v>46095</v>
      </c>
      <c r="C91" s="2" t="s">
        <v>94</v>
      </c>
      <c r="D91" s="4">
        <v>0.41666666666666669</v>
      </c>
      <c r="E91" s="4">
        <v>0.54166666666666663</v>
      </c>
      <c r="F91" s="5">
        <f>IF(E91&gt;D91,E91-D91,IF(ISNUMBER(Stundenliste[[#This Row],[Von]]),"24:00"-(D91-E91),""))</f>
        <v>0.12499999999999994</v>
      </c>
      <c r="G91" s="2" t="s">
        <v>10</v>
      </c>
    </row>
    <row r="92" spans="1:7" x14ac:dyDescent="0.25">
      <c r="A92" s="2" t="str">
        <f t="shared" si="6"/>
        <v>So.</v>
      </c>
      <c r="B92" s="3">
        <v>46096</v>
      </c>
      <c r="C92" s="2" t="s">
        <v>95</v>
      </c>
      <c r="D92" s="4">
        <v>0.58333333333333337</v>
      </c>
      <c r="E92" s="4">
        <v>0.72916666666666663</v>
      </c>
      <c r="F92" s="5">
        <f>IF(E92&gt;D92,E92-D92,IF(ISNUMBER(Stundenliste[[#This Row],[Von]]),"24:00"-(D92-E92),""))</f>
        <v>0.14583333333333326</v>
      </c>
      <c r="G92" s="2" t="s">
        <v>7</v>
      </c>
    </row>
    <row r="93" spans="1:7" x14ac:dyDescent="0.25">
      <c r="A93" s="2" t="str">
        <f t="shared" si="6"/>
        <v>Mo.</v>
      </c>
      <c r="B93" s="3">
        <v>46097</v>
      </c>
      <c r="C93" s="2" t="s">
        <v>102</v>
      </c>
      <c r="D93" s="4">
        <v>0.33333333333333331</v>
      </c>
      <c r="E93" s="4">
        <v>0.41666666666666669</v>
      </c>
      <c r="F93" s="5">
        <f>IF(E93&gt;D93,E93-D93,IF(ISNUMBER(Stundenliste[[#This Row],[Von]]),"24:00"-(D93-E93),""))</f>
        <v>8.333333333333337E-2</v>
      </c>
      <c r="G93" s="2" t="s">
        <v>11</v>
      </c>
    </row>
    <row r="94" spans="1:7" x14ac:dyDescent="0.25">
      <c r="A94" s="2" t="str">
        <f>IF(ISNUMBER(B94),LEFT(TEXT(B94,"TTTT"),2)&amp;".","")</f>
        <v>Mo.</v>
      </c>
      <c r="B94" s="3">
        <v>46097</v>
      </c>
      <c r="C94" s="2" t="s">
        <v>101</v>
      </c>
      <c r="D94" s="4">
        <v>0.375</v>
      </c>
      <c r="E94" s="4">
        <v>0.41666666666666669</v>
      </c>
      <c r="F94" s="5">
        <f>IF(E94&gt;D94,E94-D94,IF(ISNUMBER(Stundenliste[[#This Row],[Von]]),"24:00"-(D94-E94),""))</f>
        <v>4.1666666666666685E-2</v>
      </c>
      <c r="G94" s="2" t="s">
        <v>10</v>
      </c>
    </row>
    <row r="95" spans="1:7" x14ac:dyDescent="0.25">
      <c r="A95" s="2" t="str">
        <f>IF(ISNUMBER(B95),LEFT(TEXT(B95,"TTTT"),2)&amp;".","")</f>
        <v>Mi.</v>
      </c>
      <c r="B95" s="3">
        <v>46099</v>
      </c>
      <c r="C95" s="2" t="s">
        <v>103</v>
      </c>
      <c r="D95" s="4">
        <v>0.41666666666666669</v>
      </c>
      <c r="E95" s="4">
        <v>0.58333333333333337</v>
      </c>
      <c r="F95" s="5">
        <f>IF(E95&gt;D95,E95-D95,IF(ISNUMBER(Stundenliste[[#This Row],[Von]]),"24:00"-(D95-E95),""))</f>
        <v>0.16666666666666669</v>
      </c>
      <c r="G95" s="2" t="s">
        <v>7</v>
      </c>
    </row>
    <row r="96" spans="1:7" x14ac:dyDescent="0.25">
      <c r="A96" s="2" t="str">
        <f>IF(ISNUMBER(B96),LEFT(TEXT(B96,"TTTT"),2)&amp;".","")</f>
        <v>Mi.</v>
      </c>
      <c r="B96" s="3">
        <v>46099</v>
      </c>
      <c r="C96" s="2" t="s">
        <v>103</v>
      </c>
      <c r="D96" s="4">
        <v>0.58333333333333337</v>
      </c>
      <c r="E96" s="4">
        <v>0.6875</v>
      </c>
      <c r="F96" s="5">
        <f>IF(E96&gt;D96,E96-D96,IF(ISNUMBER(Stundenliste[[#This Row],[Von]]),"24:00"-(D96-E96),""))</f>
        <v>0.10416666666666663</v>
      </c>
      <c r="G96" s="2" t="s">
        <v>11</v>
      </c>
    </row>
    <row r="97" spans="1:7" x14ac:dyDescent="0.25">
      <c r="A97" s="2" t="str">
        <f>IF(ISNUMBER(B97),LEFT(TEXT(B97,"TTTT"),2)&amp;".","")</f>
        <v>Di.</v>
      </c>
      <c r="B97" s="3">
        <v>46098</v>
      </c>
      <c r="C97" s="2" t="s">
        <v>98</v>
      </c>
      <c r="D97" s="4">
        <v>0.58333333333333337</v>
      </c>
      <c r="E97" s="4">
        <v>0.75</v>
      </c>
      <c r="F97" s="5">
        <f>IF(E97&gt;D97,E97-D97,IF(ISNUMBER(Stundenliste[[#This Row],[Von]]),"24:00"-(D97-E97),""))</f>
        <v>0.16666666666666663</v>
      </c>
      <c r="G97" s="2" t="s">
        <v>10</v>
      </c>
    </row>
    <row r="98" spans="1:7" x14ac:dyDescent="0.25">
      <c r="A98" s="2" t="str">
        <f>IF(ISNUMBER(B98),LEFT(TEXT(B98,"TTTT"),2)&amp;".","")</f>
        <v>Di.</v>
      </c>
      <c r="B98" s="3">
        <v>46098</v>
      </c>
      <c r="C98" s="2" t="s">
        <v>98</v>
      </c>
      <c r="D98" s="4">
        <v>0.66666666666666663</v>
      </c>
      <c r="E98" s="4">
        <v>0.83333333333333337</v>
      </c>
      <c r="F98" s="5">
        <f>IF(E98&gt;D98,E98-D98,IF(ISNUMBER(Stundenliste[[#This Row],[Von]]),"24:00"-(D98-E98),""))</f>
        <v>0.16666666666666674</v>
      </c>
      <c r="G98" s="2" t="s">
        <v>11</v>
      </c>
    </row>
    <row r="99" spans="1:7" x14ac:dyDescent="0.25">
      <c r="A99" s="23" t="str">
        <f>IF(ISNUMBER(B99),LEFT(TEXT(B99,"TTTT"),2)&amp;".","")</f>
        <v>Fr.</v>
      </c>
      <c r="B99" s="3">
        <v>46101</v>
      </c>
      <c r="C99" s="23" t="s">
        <v>104</v>
      </c>
      <c r="D99" s="4">
        <v>0.75</v>
      </c>
      <c r="E99" s="4">
        <v>0.79166666666666663</v>
      </c>
      <c r="F99" s="5">
        <f>IF(E99&gt;D99,E99-D99,IF(ISNUMBER(Stundenliste[[#This Row],[Von]]),"24:00"-(D99-E99),""))</f>
        <v>4.166666666666663E-2</v>
      </c>
      <c r="G99" s="2" t="s">
        <v>11</v>
      </c>
    </row>
    <row r="100" spans="1:7" x14ac:dyDescent="0.25">
      <c r="A100" s="23" t="str">
        <f>IF(ISNUMBER(B100),LEFT(TEXT(B100,"TTTT"),2)&amp;".","")</f>
        <v>Sa.</v>
      </c>
      <c r="B100" s="3">
        <v>46102</v>
      </c>
      <c r="C100" s="23" t="s">
        <v>104</v>
      </c>
      <c r="D100" s="4">
        <v>0.75</v>
      </c>
      <c r="E100" s="4">
        <v>0.79166666666666663</v>
      </c>
      <c r="F100" s="5">
        <f>IF(E100&gt;D100,E100-D100,IF(ISNUMBER(Stundenliste[[#This Row],[Von]]),"24:00"-(D100-E100),""))</f>
        <v>4.166666666666663E-2</v>
      </c>
      <c r="G100" s="2" t="s">
        <v>11</v>
      </c>
    </row>
    <row r="101" spans="1:7" x14ac:dyDescent="0.25">
      <c r="A101" s="23" t="str">
        <f>IF(ISNUMBER(B101),LEFT(TEXT(B101,"TTTT"),2)&amp;".","")</f>
        <v/>
      </c>
      <c r="B101" s="3"/>
      <c r="C101" s="23"/>
      <c r="D101" s="2"/>
      <c r="E101" s="2"/>
      <c r="F101" s="5" t="str">
        <f>IF(E101&gt;D101,E101-D101,IF(ISNUMBER(Stundenliste[[#This Row],[Von]]),"24:00"-(D101-E101),""))</f>
        <v/>
      </c>
      <c r="G101" s="2"/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2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Arthur Peer</cp:lastModifiedBy>
  <cp:revision/>
  <cp:lastPrinted>2026-01-09T07:41:25Z</cp:lastPrinted>
  <dcterms:created xsi:type="dcterms:W3CDTF">2022-09-30T10:08:24Z</dcterms:created>
  <dcterms:modified xsi:type="dcterms:W3CDTF">2026-03-20T23:37:23Z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