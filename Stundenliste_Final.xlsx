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13_ncr:1_{6E126C1E-C640-4C1F-9FD4-199AD2DADD98}" xr6:coauthVersionLast="47" xr6:coauthVersionMax="47" xr10:uidLastSave="{00000000-0000-0000-0000-000000000000}"/>
  <bookViews>
    <workbookView xWindow="-110" yWindow="-110" windowWidth="38620" windowHeight="21100" xr2:uid="{904973F5-B02B-4666-A03D-BB66738E721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9" i="1" l="1"/>
  <c r="F76" i="1"/>
  <c r="F79" i="1"/>
  <c r="F80" i="1"/>
  <c r="F84" i="1"/>
  <c r="F88" i="1"/>
  <c r="F89" i="1"/>
  <c r="F91" i="1"/>
  <c r="F92" i="1"/>
  <c r="F93" i="1"/>
  <c r="F95" i="1"/>
  <c r="F96" i="1"/>
  <c r="F98" i="1"/>
  <c r="F99" i="1"/>
  <c r="F103" i="1"/>
  <c r="F106" i="1"/>
  <c r="F110" i="1"/>
  <c r="F112" i="1"/>
  <c r="F115" i="1"/>
  <c r="F117" i="1"/>
  <c r="F122" i="1"/>
  <c r="F127" i="1"/>
  <c r="F128" i="1"/>
  <c r="F131" i="1"/>
  <c r="F132" i="1"/>
  <c r="F135" i="1"/>
  <c r="F29" i="1"/>
  <c r="F31" i="1"/>
  <c r="F52" i="1"/>
  <c r="F54" i="1"/>
  <c r="F55" i="1"/>
  <c r="F57" i="1"/>
  <c r="F136" i="1"/>
  <c r="F137" i="1"/>
  <c r="F138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A146" i="1"/>
  <c r="A147" i="1"/>
  <c r="A148" i="1"/>
  <c r="A149" i="1"/>
  <c r="A150" i="1"/>
  <c r="A151" i="1"/>
  <c r="A152" i="1"/>
  <c r="A153" i="1"/>
  <c r="A154" i="1"/>
  <c r="F152" i="1"/>
  <c r="F153" i="1"/>
  <c r="F154" i="1"/>
  <c r="A115" i="1"/>
  <c r="A117" i="1"/>
  <c r="A122" i="1"/>
  <c r="A127" i="1"/>
  <c r="A128" i="1"/>
  <c r="A131" i="1"/>
  <c r="A132" i="1"/>
  <c r="A135" i="1"/>
  <c r="A29" i="1"/>
  <c r="A31" i="1"/>
  <c r="A52" i="1"/>
  <c r="A54" i="1"/>
  <c r="A55" i="1"/>
  <c r="A57" i="1"/>
  <c r="A136" i="1"/>
  <c r="A137" i="1"/>
  <c r="A138" i="1"/>
  <c r="A140" i="1"/>
  <c r="A141" i="1"/>
  <c r="A142" i="1"/>
  <c r="A143" i="1"/>
  <c r="A144" i="1"/>
  <c r="A145" i="1"/>
  <c r="A139" i="1"/>
  <c r="A76" i="1"/>
  <c r="A79" i="1"/>
  <c r="A80" i="1"/>
  <c r="A84" i="1"/>
  <c r="A88" i="1"/>
  <c r="A89" i="1"/>
  <c r="A91" i="1"/>
  <c r="A92" i="1"/>
  <c r="A93" i="1"/>
  <c r="A95" i="1"/>
  <c r="A96" i="1"/>
  <c r="A98" i="1"/>
  <c r="A99" i="1"/>
  <c r="A103" i="1"/>
  <c r="A106" i="1"/>
  <c r="A110" i="1"/>
  <c r="A112" i="1"/>
  <c r="F19" i="1"/>
  <c r="F20" i="1"/>
  <c r="F21" i="1"/>
  <c r="F22" i="1"/>
  <c r="F23" i="1"/>
  <c r="F24" i="1"/>
  <c r="F25" i="1"/>
  <c r="F26" i="1"/>
  <c r="F27" i="1"/>
  <c r="F28" i="1"/>
  <c r="F30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3" i="1"/>
  <c r="F56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A134" i="1"/>
  <c r="F134" i="1"/>
  <c r="F87" i="1"/>
  <c r="A87" i="1"/>
  <c r="A126" i="1"/>
  <c r="F126" i="1"/>
  <c r="A130" i="1"/>
  <c r="F130" i="1"/>
  <c r="A133" i="1"/>
  <c r="F133" i="1"/>
  <c r="A129" i="1"/>
  <c r="F129" i="1"/>
  <c r="A125" i="1"/>
  <c r="F125" i="1"/>
  <c r="A121" i="1"/>
  <c r="F121" i="1"/>
  <c r="A120" i="1"/>
  <c r="F120" i="1"/>
  <c r="A124" i="1"/>
  <c r="F124" i="1"/>
  <c r="F123" i="1"/>
  <c r="A123" i="1"/>
  <c r="A119" i="1"/>
  <c r="F119" i="1"/>
  <c r="A118" i="1"/>
  <c r="F118" i="1"/>
  <c r="A48" i="1"/>
  <c r="A46" i="1"/>
  <c r="A109" i="1"/>
  <c r="F109" i="1"/>
  <c r="A108" i="1"/>
  <c r="F108" i="1"/>
  <c r="A105" i="1"/>
  <c r="F105" i="1"/>
  <c r="A116" i="1"/>
  <c r="F116" i="1"/>
  <c r="A114" i="1"/>
  <c r="F114" i="1"/>
  <c r="A107" i="1"/>
  <c r="F107" i="1"/>
  <c r="A104" i="1"/>
  <c r="F104" i="1"/>
  <c r="A111" i="1"/>
  <c r="F111" i="1"/>
  <c r="A113" i="1"/>
  <c r="F113" i="1"/>
  <c r="A102" i="1"/>
  <c r="F102" i="1"/>
  <c r="A101" i="1"/>
  <c r="F101" i="1"/>
  <c r="A100" i="1"/>
  <c r="F100" i="1"/>
  <c r="A97" i="1"/>
  <c r="F97" i="1"/>
  <c r="A85" i="1"/>
  <c r="F85" i="1"/>
  <c r="A86" i="1"/>
  <c r="F86" i="1"/>
  <c r="A90" i="1"/>
  <c r="F90" i="1"/>
  <c r="A94" i="1"/>
  <c r="F94" i="1"/>
  <c r="A83" i="1"/>
  <c r="F83" i="1"/>
  <c r="A82" i="1"/>
  <c r="F82" i="1"/>
  <c r="A81" i="1"/>
  <c r="F81" i="1"/>
  <c r="A74" i="1"/>
  <c r="A77" i="1"/>
  <c r="F77" i="1"/>
  <c r="A75" i="1"/>
  <c r="F75" i="1"/>
  <c r="A78" i="1"/>
  <c r="F78" i="1"/>
  <c r="A73" i="1"/>
  <c r="A72" i="1"/>
  <c r="A71" i="1"/>
  <c r="A70" i="1"/>
  <c r="A23" i="1"/>
  <c r="A25" i="1"/>
  <c r="A18" i="1"/>
  <c r="A17" i="1"/>
  <c r="A15" i="1"/>
  <c r="A16" i="1"/>
  <c r="A68" i="1"/>
  <c r="A69" i="1"/>
  <c r="A14" i="1"/>
  <c r="A67" i="1"/>
  <c r="A66" i="1"/>
  <c r="A65" i="1"/>
  <c r="A64" i="1"/>
  <c r="F2" i="1"/>
  <c r="M7" i="1" l="1"/>
  <c r="A62" i="1"/>
  <c r="A63" i="1"/>
  <c r="A59" i="1"/>
  <c r="A61" i="1"/>
  <c r="A60" i="1"/>
  <c r="A58" i="1"/>
  <c r="A53" i="1"/>
  <c r="A56" i="1"/>
  <c r="P6" i="1"/>
  <c r="Q6" i="1" s="1"/>
  <c r="A44" i="1"/>
  <c r="A10" i="1"/>
  <c r="J9" i="1"/>
  <c r="A43" i="1"/>
  <c r="A28" i="1"/>
  <c r="A45" i="1"/>
  <c r="A47" i="1"/>
  <c r="A49" i="1"/>
  <c r="A50" i="1"/>
  <c r="A51" i="1"/>
  <c r="J3" i="1"/>
  <c r="J5" i="1"/>
  <c r="J8" i="1"/>
  <c r="A33" i="1"/>
  <c r="J4" i="1" l="1"/>
  <c r="J7" i="1"/>
  <c r="J11" i="1"/>
  <c r="M3" i="1" l="1"/>
  <c r="A7" i="1"/>
  <c r="A19" i="1"/>
  <c r="A37" i="1"/>
  <c r="A13" i="1"/>
  <c r="A39" i="1"/>
  <c r="A22" i="1"/>
  <c r="A42" i="1"/>
  <c r="A32" i="1"/>
  <c r="A34" i="1"/>
  <c r="A38" i="1"/>
  <c r="A40" i="1"/>
  <c r="A41" i="1"/>
  <c r="A27" i="1"/>
  <c r="A30" i="1"/>
  <c r="A26" i="1"/>
  <c r="A24" i="1"/>
  <c r="A21" i="1"/>
  <c r="A36" i="1"/>
  <c r="A8" i="1"/>
  <c r="A20" i="1"/>
  <c r="A35" i="1"/>
  <c r="A12" i="1"/>
  <c r="A9" i="1"/>
  <c r="A2" i="1"/>
  <c r="A6" i="1"/>
  <c r="M4" i="1" l="1"/>
  <c r="A3" i="1"/>
  <c r="A4" i="1"/>
  <c r="A5" i="1"/>
  <c r="A11" i="1"/>
  <c r="N4" i="1" l="1"/>
  <c r="O4" i="1" s="1"/>
  <c r="P4" i="1" s="1"/>
  <c r="Q4" i="1" s="1"/>
  <c r="M5" i="1"/>
  <c r="M8" i="1"/>
  <c r="N5" i="1" l="1"/>
  <c r="O5" i="1" s="1"/>
  <c r="P5" i="1" s="1"/>
  <c r="Q5" i="1" s="1"/>
  <c r="N3" i="1"/>
  <c r="O3" i="1" s="1"/>
  <c r="P3" i="1" s="1"/>
  <c r="Q3" i="1" s="1"/>
</calcChain>
</file>

<file path=xl/sharedStrings.xml><?xml version="1.0" encoding="utf-8"?>
<sst xmlns="http://schemas.openxmlformats.org/spreadsheetml/2006/main" count="327" uniqueCount="140">
  <si>
    <t>Tag</t>
  </si>
  <si>
    <t>Datum</t>
  </si>
  <si>
    <t>Tätigkeit/Info</t>
  </si>
  <si>
    <t>Von</t>
  </si>
  <si>
    <t>Bis</t>
  </si>
  <si>
    <t>Stunden</t>
  </si>
  <si>
    <t>Wer</t>
  </si>
  <si>
    <t>Gemeinsam</t>
  </si>
  <si>
    <t>ProHTL + Übung</t>
  </si>
  <si>
    <t>Valentin</t>
  </si>
  <si>
    <t>Linus</t>
  </si>
  <si>
    <t>Arthur</t>
  </si>
  <si>
    <t>Valentin+Linus</t>
  </si>
  <si>
    <t>Arthur+Linus</t>
  </si>
  <si>
    <t>Valentin+Arthur</t>
  </si>
  <si>
    <t>Name</t>
  </si>
  <si>
    <t>Zeit</t>
  </si>
  <si>
    <t>ABA Portal + VR-Frag</t>
  </si>
  <si>
    <t>KÜ - Vorbereitung für Diplomarbeit</t>
  </si>
  <si>
    <t>KÜ - Beginn der Diplomarbeit mit Unreal Engine</t>
  </si>
  <si>
    <t>KÜ - Weiter gemacht mit Unreal Engine</t>
  </si>
  <si>
    <t>Wechsel zu Unity</t>
  </si>
  <si>
    <t>Github: Stundenliste hinzugefügt (branches)</t>
  </si>
  <si>
    <t>Github (gitignore erstellt) Unity-Projekt</t>
  </si>
  <si>
    <t>Unity Multiplayer funktionen getestet (Scene)</t>
  </si>
  <si>
    <t>Multiplayer auf 2 Brillen  + Button</t>
  </si>
  <si>
    <t>Unity Canvas (Button Szenenwechsel)</t>
  </si>
  <si>
    <t>Standalone System</t>
  </si>
  <si>
    <t>ToT</t>
  </si>
  <si>
    <t>ToT-Plakat Gestaltung</t>
  </si>
  <si>
    <t>ToT-Vorbereitung</t>
  </si>
  <si>
    <t>Werkstatt Filmdreh für INNO</t>
  </si>
  <si>
    <t>Anmeldung Jugend Innovative</t>
  </si>
  <si>
    <t>VR-Brille und PC einrichten</t>
  </si>
  <si>
    <t>Planung Nachtragung Unity Programmieren</t>
  </si>
  <si>
    <t>Amazon-Bestellung</t>
  </si>
  <si>
    <t>Bestellung-Meta</t>
  </si>
  <si>
    <t>Vorbereitung Wechsel zu Unity</t>
  </si>
  <si>
    <t>Meta Quest 3 (APK), Zuhause</t>
  </si>
  <si>
    <t>Multiplayer auf 2 Brillen  + Pico</t>
  </si>
  <si>
    <t>Ausprobieren der Haptik-Weste</t>
  </si>
  <si>
    <t>Minuten</t>
  </si>
  <si>
    <t>Stunden2</t>
  </si>
  <si>
    <t>Prozent</t>
  </si>
  <si>
    <t>Github in Word beschrieben</t>
  </si>
  <si>
    <t>Allgemeinen Funktionen von Github in Word</t>
  </si>
  <si>
    <t>Miteinander Word geschrieben</t>
  </si>
  <si>
    <t>Informatik Stundenliste verbessert</t>
  </si>
  <si>
    <t>Alles</t>
  </si>
  <si>
    <t>Spalte1</t>
  </si>
  <si>
    <t>Vr-Brillen und Meta reaperieren + Standalone</t>
  </si>
  <si>
    <t>Programmiert</t>
  </si>
  <si>
    <t>Inno Esa Wettbewerb</t>
  </si>
  <si>
    <t>Word weitergeschrieben und verbessert</t>
  </si>
  <si>
    <t>Szenen erstellt und Fehler behoben</t>
  </si>
  <si>
    <t>Github fertig geschrieben</t>
  </si>
  <si>
    <t>Updating, Handtracking</t>
  </si>
  <si>
    <t>Handtracking, Map, Updating, Projekt Kaputt</t>
  </si>
  <si>
    <t>Handtracking repariert</t>
  </si>
  <si>
    <t>Files auf Github gepusht, Stundenliste aktualisiert</t>
  </si>
  <si>
    <t>Server Besprechung</t>
  </si>
  <si>
    <t>Fehlerbehebung (Debugging)</t>
  </si>
  <si>
    <t>Objekte</t>
  </si>
  <si>
    <t>neue Objekte hinzugefügt</t>
  </si>
  <si>
    <t>Unity Download + Setup</t>
  </si>
  <si>
    <t>Projekt importiert und erste Szene erstellt</t>
  </si>
  <si>
    <t>Erste Fehler behoben, Arbeit an der Szene</t>
  </si>
  <si>
    <t>Szene für ToT erstellt, Terrain modelliert</t>
  </si>
  <si>
    <t>Terrain texturiert, Materials erstellt</t>
  </si>
  <si>
    <t>Terrain finished, Fehler behoben</t>
  </si>
  <si>
    <t>Fehlerbehebung für ToT</t>
  </si>
  <si>
    <t>Arbeit an Szenen, Fehlerbehebung</t>
  </si>
  <si>
    <t>Tür fertig gestellt, Fehler behoben, Animationen</t>
  </si>
  <si>
    <t>Handtracking</t>
  </si>
  <si>
    <t>PC-Server Setup</t>
  </si>
  <si>
    <t>Diplo Unity Basics</t>
  </si>
  <si>
    <t>Tür beschrieben</t>
  </si>
  <si>
    <t>Gegenstand werfen + Code</t>
  </si>
  <si>
    <t>PC-Server repariert</t>
  </si>
  <si>
    <t>Projekt auf PC übertragen, Animation</t>
  </si>
  <si>
    <t>PC-Server Kaputt</t>
  </si>
  <si>
    <t>Server, Besprechung</t>
  </si>
  <si>
    <t>Auto Szene repariert + erweitert</t>
  </si>
  <si>
    <t>Müllberg-Szene begonnen</t>
  </si>
  <si>
    <t>Auto Szene repariert</t>
  </si>
  <si>
    <t>Müllberg-Szene, Auto-Szene</t>
  </si>
  <si>
    <t>Fehlerbeheben (Debugging)</t>
  </si>
  <si>
    <t>Stundenliste aktualisieren</t>
  </si>
  <si>
    <t>Zeitmanagement</t>
  </si>
  <si>
    <t xml:space="preserve">Kleinere Fehler behoben; Diplo Leveldesign </t>
  </si>
  <si>
    <t>Projekt auf Schulpc importieren versucht</t>
  </si>
  <si>
    <t>Diplo weitergeschrieben</t>
  </si>
  <si>
    <t>Diplo schreiben</t>
  </si>
  <si>
    <t>Projekt reparieren</t>
  </si>
  <si>
    <t>Schreiben + Müllberg Szene</t>
  </si>
  <si>
    <t>Müllberg-Szene</t>
  </si>
  <si>
    <t>Schreiben</t>
  </si>
  <si>
    <t>Terrain-Materials verbessert</t>
  </si>
  <si>
    <t>3D-Modelle + Materials +  Texturen für  Szenen</t>
  </si>
  <si>
    <t>Besprechung</t>
  </si>
  <si>
    <t>Terrain + Besprechung</t>
  </si>
  <si>
    <t>Unity + Schreiben</t>
  </si>
  <si>
    <t>Text ausarbeiten</t>
  </si>
  <si>
    <t>Ausarbeitung/Unity Multiplayer</t>
  </si>
  <si>
    <t>Geschrieben</t>
  </si>
  <si>
    <t>Diplo</t>
  </si>
  <si>
    <t>s</t>
  </si>
  <si>
    <t>Hand Teleportation</t>
  </si>
  <si>
    <t>Diplomarbeitstext Zusammenfassung + Ist-Analyse</t>
  </si>
  <si>
    <t>Terrain verbessern</t>
  </si>
  <si>
    <t>Multiplayer für ToT</t>
  </si>
  <si>
    <t>Schreiben, Besprechung, Bugfixing</t>
  </si>
  <si>
    <t>Terrain Bugfixing, Bäume</t>
  </si>
  <si>
    <t>Planung und Besprechung, Word Dokumentation, Stundenliste, Unity Projekt weitergearbeitet</t>
  </si>
  <si>
    <t>Dokumenation, Projekt Szenen bearbeitung</t>
  </si>
  <si>
    <t>SDK Assets, Handtracking</t>
  </si>
  <si>
    <t>Szenenbearbeitung</t>
  </si>
  <si>
    <t>Dokumentation</t>
  </si>
  <si>
    <t>Szenenbearbeitung, Buttons</t>
  </si>
  <si>
    <t>Dokumentation, Word</t>
  </si>
  <si>
    <t>Hand Teleportation, SDK Assets</t>
  </si>
  <si>
    <t>Hand Teleportation, Dokumentation</t>
  </si>
  <si>
    <t>Testing, Projekt Zusammenfügen, Bugfixing, Projekt reparieren</t>
  </si>
  <si>
    <t>Stundenliste, Dokumentation</t>
  </si>
  <si>
    <t>Szenen</t>
  </si>
  <si>
    <t>Dokumenation</t>
  </si>
  <si>
    <t>Hand Teleportation geschafft</t>
  </si>
  <si>
    <t>Hand Teleportation, Anpassung, Feinschliff</t>
  </si>
  <si>
    <t>Dokumentation, Stundenliste</t>
  </si>
  <si>
    <t>Server, Hand Teleportation</t>
  </si>
  <si>
    <t>Hand Teleportation, Updating, Multiplayer</t>
  </si>
  <si>
    <t>Teleportation mit Gesten, Multiplayer</t>
  </si>
  <si>
    <t>Handtracking, SDK Assets</t>
  </si>
  <si>
    <t>Dokumenation, Abschlussarbeiten</t>
  </si>
  <si>
    <t>Besprechung, Testing, Abschluss</t>
  </si>
  <si>
    <t>Dokumentation, Abschlussarbeiten</t>
  </si>
  <si>
    <t>Dokumentation, Abschluss</t>
  </si>
  <si>
    <t>Dokumentation, Diplomarbeit Fertig</t>
  </si>
  <si>
    <t>Dokumentation, Verbesserung</t>
  </si>
  <si>
    <t>Dokumentation, Verbesserung, Abschluss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</si>
</sst>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h:mm"/>
    <numFmt numFmtId="166" formatCode="[hh]:mm"/>
    <numFmt numFmtId="167" formatCode="#,##0.00\ _€"/>
    <numFmt numFmtId="168" formatCode="0.00&quot; Stunden&quot;"/>
    <numFmt numFmtId="169" formatCode="0.00&quot; h&quot;"/>
    <numFmt numFmtId="170" formatCode="[mm]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theme="5" tint="0.5999938962981048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7" fontId="1" fillId="0" borderId="0" xfId="0" applyNumberFormat="1" applyFont="1"/>
    <xf numFmtId="0" fontId="1" fillId="0" borderId="0" xfId="0" applyFont="1" applyAlignment="1">
      <alignment horizontal="right"/>
    </xf>
    <xf numFmtId="166" fontId="0" fillId="3" borderId="1" xfId="0" applyNumberForma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46" fontId="1" fillId="0" borderId="0" xfId="0" applyNumberFormat="1" applyFont="1"/>
    <xf numFmtId="170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170" fontId="0" fillId="0" borderId="0" xfId="1" applyNumberFormat="1" applyFont="1"/>
    <xf numFmtId="0" fontId="1" fillId="0" borderId="0" xfId="0" applyNumberFormat="1" applyFont="1"/>
  </cellXfs>
  <cellStyles count="2">
    <cellStyle name="Prozent" xfId="1" builtinId="5"/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h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2" formatCode="0.00"/>
    </dxf>
    <dxf>
      <numFmt numFmtId="13" formatCode="0%"/>
    </dxf>
    <dxf>
      <numFmt numFmtId="170" formatCode="[mm]"/>
    </dxf>
    <dxf>
      <numFmt numFmtId="170" formatCode="[mm]"/>
    </dxf>
    <dxf>
      <numFmt numFmtId="166" formatCode="[hh]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5" formatCode="h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Stunden in Prozent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Tabelle1!$L$3</c:f>
              <c:strCache>
                <c:ptCount val="1"/>
                <c:pt idx="0">
                  <c:v>Linus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Tabelle1!$Q$3</c:f>
              <c:numCache>
                <c:formatCode>0%</c:formatCode>
                <c:ptCount val="1"/>
                <c:pt idx="0">
                  <c:v>1.2527412280701689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EBB-BB6E-D2A68DA9809C}"/>
            </c:ext>
          </c:extLst>
        </c:ser>
        <c:ser>
          <c:idx val="1"/>
          <c:order val="1"/>
          <c:tx>
            <c:strRef>
              <c:f>Tabelle1!$L$4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Tabelle1!$Q$4</c:f>
              <c:numCache>
                <c:formatCode>0%</c:formatCode>
                <c:ptCount val="1"/>
                <c:pt idx="0">
                  <c:v>1.1842105263157832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E-4EBB-BB6E-D2A68DA9809C}"/>
            </c:ext>
          </c:extLst>
        </c:ser>
        <c:ser>
          <c:idx val="2"/>
          <c:order val="2"/>
          <c:tx>
            <c:strRef>
              <c:f>Tabelle1!$L$5</c:f>
              <c:strCache>
                <c:ptCount val="1"/>
                <c:pt idx="0">
                  <c:v>Valentin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Tabelle1!$Q$5</c:f>
              <c:numCache>
                <c:formatCode>0%</c:formatCode>
                <c:ptCount val="1"/>
                <c:pt idx="0">
                  <c:v>1.2171052631578885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E-4EBB-BB6E-D2A68DA9809C}"/>
            </c:ext>
          </c:extLst>
        </c:ser>
        <c:ser>
          <c:idx val="3"/>
          <c:order val="3"/>
          <c:tx>
            <c:strRef>
              <c:f>Tabelle1!$L$6</c:f>
              <c:strCache>
                <c:ptCount val="1"/>
                <c:pt idx="0">
                  <c:v>Alles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1E-4EBB-BB6E-D2A68DA9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337359"/>
        <c:axId val="1163341679"/>
      </c:barChart>
      <c:catAx>
        <c:axId val="116333735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41679"/>
        <c:crosses val="autoZero"/>
        <c:auto val="1"/>
        <c:lblAlgn val="ctr"/>
        <c:lblOffset val="100"/>
        <c:noMultiLvlLbl val="0"/>
      </c:catAx>
      <c:valAx>
        <c:axId val="11633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12417</xdr:colOff>
      <xdr:row>8</xdr:row>
      <xdr:rowOff>185057</xdr:rowOff>
    </xdr:from>
    <xdr:to>
      <xdr:col>18</xdr:col>
      <xdr:colOff>190500</xdr:colOff>
      <xdr:row>23</xdr:row>
      <xdr:rowOff>70757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D40C3BE-BAD2-C4CC-7264-122DAE0F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1F5EC-BCBD-4D95-9F21-060EF7779827}" name="Stundenliste" displayName="Stundenliste" ref="A1:G154" totalsRowShown="0" headerRowDxfId="16" dataDxfId="15">
  <autoFilter ref="A1:G154" xr:uid="{730AE997-56E9-481C-8C9C-45C7D9E3EFFC}"/>
  <sortState xmlns:xlrd2="http://schemas.microsoft.com/office/spreadsheetml/2017/richdata2" ref="A2:G154">
    <sortCondition ref="B1:B154"/>
  </sortState>
  <tableColumns count="7">
    <tableColumn id="1" xr3:uid="{AD59871A-76CC-45F6-8F91-44F7ED02573E}" name="Tag" dataDxfId="14">
      <calculatedColumnFormula>IF(ISNUMBER(B2),LEFT(TEXT(B2,"TTTT"),2)&amp;".","")</calculatedColumnFormula>
    </tableColumn>
    <tableColumn id="2" xr3:uid="{0BE9BF18-BC7D-4870-8E1C-AF08893F5227}" name="Datum" dataDxfId="13"/>
    <tableColumn id="3" xr3:uid="{8264A4E0-F28F-4A0D-A490-C90DCCB13F8E}" name="Tätigkeit/Info" dataDxfId="12"/>
    <tableColumn id="4" xr3:uid="{FE347096-2316-4A4F-8E95-6B08EDE9030A}" name="Von" dataDxfId="11"/>
    <tableColumn id="5" xr3:uid="{DF9965FF-51AE-44CD-90F9-60C1127D4458}" name="Bis" dataDxfId="10"/>
    <tableColumn id="6" xr3:uid="{71889B4E-2C0D-4CC7-AB39-54AAA30FF7DC}" name="Stunden" dataDxfId="9">
      <calculatedColumnFormula>IF(E2&gt;D2,E2-D2,IF(ISNUMBER(Stundenliste[[#This Row],[Von]]),"24:00"-(D2-E2),""))</calculatedColumnFormula>
    </tableColumn>
    <tableColumn id="7" xr3:uid="{37DB6F7E-AF9C-40D4-A31C-91C6CFAF5E2F}" name="We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D3482-62D4-45D7-85FA-8EC2E4DDD78D}" name="Tabelle2" displayName="Tabelle2" ref="L2:Q6" totalsRowShown="0">
  <autoFilter ref="L2:Q6" xr:uid="{028D3482-62D4-45D7-85FA-8EC2E4DDD78D}"/>
  <tableColumns count="6">
    <tableColumn id="1" xr3:uid="{9B6AAEA3-668A-4353-A33E-0D79279FD064}" name="Name"/>
    <tableColumn id="2" xr3:uid="{DF593358-143C-4B61-887F-2E7A8967BB61}" name="Stunden" dataDxfId="7"/>
    <tableColumn id="3" xr3:uid="{48C02AA9-4970-411A-A4BA-20AFF4C20E61}" name="Minuten" dataDxfId="6">
      <calculatedColumnFormula>Tabelle2[[#This Row],[Stunden]]</calculatedColumnFormula>
    </tableColumn>
    <tableColumn id="4" xr3:uid="{FBD2B55A-1785-4AEE-A362-0CDA5F4271CA}" name="Stunden2" dataDxfId="5">
      <calculatedColumnFormula>Tabelle2[[#This Row],[Minuten]]/60</calculatedColumnFormula>
    </tableColumn>
    <tableColumn id="5" xr3:uid="{43C88CC5-3A35-4698-8EA5-94C339438E12}" name="Prozent" dataDxfId="4">
      <calculatedColumnFormula>(O3/180)*100</calculatedColumnFormula>
    </tableColumn>
    <tableColumn id="6" xr3:uid="{6AA6588C-B2BB-4A64-8166-D31634AA0806}" name="Spalte1" dataDxfId="3">
      <calculatedColumnFormula>P3*1421.05263157894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F2195-23C3-4CB7-A5D3-21B8075D8571}" name="Tabelle5" displayName="Tabelle5" ref="I2:J11" totalsRowShown="0" dataDxfId="2">
  <autoFilter ref="I2:J11" xr:uid="{8B5F2195-23C3-4CB7-A5D3-21B8075D8571}"/>
  <tableColumns count="2">
    <tableColumn id="1" xr3:uid="{5F655F81-B105-43EE-8AB9-3B34703E1464}" name="Name" dataDxfId="1"/>
    <tableColumn id="2" xr3:uid="{B0F8400B-CC18-431B-B826-95EE145FC5C8}" name="Zeit" dataDxfId="0">
      <calculatedColumnFormula>SUMIF(Stundenliste[Wer],I3,Stundenliste[Stunden])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08A664-5C8D-4839-9540-0A075113DA5E}">
  <we:reference id="44446093-b465-4d6c-a6dc-5faf6de98677" version="3.0.0.0" store="EXCatalog" storeType="EXCatalog"/>
  <we:alternateReferences>
    <we:reference id="WA200005271" version="3.0.0.0" store="de-DE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8CE-52B5-4F02-9B4B-1774B163D30B}">
  <sheetPr codeName="Tabelle1"/>
  <dimension ref="A1:U154"/>
  <sheetViews>
    <sheetView tabSelected="1" topLeftCell="F1" zoomScale="190" zoomScaleNormal="190" workbookViewId="0">
      <selection activeCell="Q27" sqref="Q27"/>
    </sheetView>
  </sheetViews>
  <sheetFormatPr baseColWidth="10" defaultColWidth="11.453125" defaultRowHeight="14.5" x14ac:dyDescent="0.35"/>
  <cols>
    <col min="1" max="1" width="9.81640625" bestFit="1" customWidth="1"/>
    <col min="2" max="2" width="10.453125" customWidth="1"/>
    <col min="3" max="3" width="30.54296875" customWidth="1"/>
    <col min="4" max="4" width="9.453125" customWidth="1"/>
    <col min="5" max="5" width="8.26953125" customWidth="1"/>
    <col min="6" max="6" width="13.54296875" customWidth="1"/>
    <col min="7" max="7" width="11.453125" customWidth="1"/>
  </cols>
  <sheetData>
    <row r="1" spans="1:21" x14ac:dyDescent="0.35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6" t="s">
        <v>6</v>
      </c>
    </row>
    <row r="2" spans="1:21" x14ac:dyDescent="0.35">
      <c r="A2" s="2" t="str">
        <f>IF(ISNUMBER(B2),LEFT(TEXT(B2,"TTTT"),2)&amp;".","")</f>
        <v>So.</v>
      </c>
      <c r="B2" s="3">
        <v>45809</v>
      </c>
      <c r="C2" s="2" t="s">
        <v>8</v>
      </c>
      <c r="D2" s="4">
        <v>0.29166666666666669</v>
      </c>
      <c r="E2" s="4">
        <v>0.75</v>
      </c>
      <c r="F2" s="5">
        <f>IF(E2&gt;D2,E2-D2,IF(ISNUMBER(Stundenliste[[#This Row],[Von]]),"24:00"-(D2-E2),""))</f>
        <v>0.45833333333333331</v>
      </c>
      <c r="G2" s="2" t="s">
        <v>7</v>
      </c>
      <c r="I2" t="s">
        <v>15</v>
      </c>
      <c r="J2" t="s">
        <v>16</v>
      </c>
      <c r="L2" t="s">
        <v>15</v>
      </c>
      <c r="M2" t="s">
        <v>5</v>
      </c>
      <c r="N2" t="s">
        <v>41</v>
      </c>
      <c r="O2" t="s">
        <v>42</v>
      </c>
      <c r="P2" t="s">
        <v>43</v>
      </c>
      <c r="Q2" t="s">
        <v>49</v>
      </c>
    </row>
    <row r="3" spans="1:21" x14ac:dyDescent="0.35">
      <c r="A3" s="2" t="str">
        <f>IF(ISNUMBER(B3),LEFT(TEXT(B3,"TTTT"),2)&amp;".","")</f>
        <v>Di.</v>
      </c>
      <c r="B3" s="3">
        <v>45811</v>
      </c>
      <c r="C3" s="2" t="s">
        <v>18</v>
      </c>
      <c r="D3" s="4">
        <v>0.30902777777777779</v>
      </c>
      <c r="E3" s="4">
        <v>0.41319444444444442</v>
      </c>
      <c r="F3" s="5">
        <f>IF(E3&gt;D3,E3-D3,IF(ISNUMBER(Stundenliste[[#This Row],[Von]]),"24:00"-(D3-E3),""))</f>
        <v>0.10416666666666663</v>
      </c>
      <c r="G3" s="3" t="s">
        <v>12</v>
      </c>
      <c r="H3" s="1"/>
      <c r="I3" s="2" t="s">
        <v>9</v>
      </c>
      <c r="J3" s="10">
        <f>SUMIF(Stundenliste[Wer],I3,Stundenliste[Stunden])</f>
        <v>3.7708333333333353</v>
      </c>
      <c r="L3" t="s">
        <v>10</v>
      </c>
      <c r="M3" s="11">
        <f>SUM(J4,J7,J8,J11)</f>
        <v>9.5208333333333321</v>
      </c>
      <c r="N3" s="17">
        <f>M3</f>
        <v>9.5208333333333321</v>
      </c>
      <c r="O3" s="17">
        <f>N3/60</f>
        <v>0.15868055555555555</v>
      </c>
      <c r="P3" s="21">
        <f t="shared" ref="P3:P6" si="0">(O3/180)*100</f>
        <v>8.8155864197530853E-2</v>
      </c>
      <c r="Q3" s="20">
        <f>(P3*1421.05263157894)/100</f>
        <v>1.2527412280701689</v>
      </c>
    </row>
    <row r="4" spans="1:21" x14ac:dyDescent="0.35">
      <c r="A4" s="2" t="str">
        <f>IF(ISNUMBER(B4),LEFT(TEXT(B4,"TTTT"),2)&amp;".","")</f>
        <v>Di.</v>
      </c>
      <c r="B4" s="3">
        <v>45818</v>
      </c>
      <c r="C4" s="2" t="s">
        <v>19</v>
      </c>
      <c r="D4" s="4">
        <v>0.30902777777777779</v>
      </c>
      <c r="E4" s="4">
        <v>0.41319444444444442</v>
      </c>
      <c r="F4" s="5">
        <f>IF(E4&gt;D4,E4-D4,IF(ISNUMBER(Stundenliste[[#This Row],[Von]]),"24:00"-(D4-E4),""))</f>
        <v>0.10416666666666663</v>
      </c>
      <c r="G4" s="2" t="s">
        <v>7</v>
      </c>
      <c r="I4" s="3" t="s">
        <v>10</v>
      </c>
      <c r="J4" s="10">
        <f>SUMIF(Stundenliste[Wer],I4,Stundenliste[Stunden])</f>
        <v>3.5833333333333335</v>
      </c>
      <c r="L4" t="s">
        <v>11</v>
      </c>
      <c r="M4" s="11">
        <f>SUM(J5,J8,J9,J11)</f>
        <v>8.9999999999999982</v>
      </c>
      <c r="N4" s="17">
        <f t="shared" ref="N4:N5" si="1">M4</f>
        <v>8.9999999999999982</v>
      </c>
      <c r="O4" s="17">
        <f t="shared" ref="O4:O5" si="2">N4/60</f>
        <v>0.14999999999999997</v>
      </c>
      <c r="P4" s="21">
        <f t="shared" si="0"/>
        <v>8.3333333333333315E-2</v>
      </c>
      <c r="Q4" s="20">
        <f t="shared" ref="Q4:Q5" si="3">(P4*1421.05263157894)/100</f>
        <v>1.1842105263157832</v>
      </c>
    </row>
    <row r="5" spans="1:21" x14ac:dyDescent="0.35">
      <c r="A5" s="2" t="str">
        <f>IF(ISNUMBER(B5),LEFT(TEXT(B5,"TTTT"),2)&amp;".","")</f>
        <v>Di.</v>
      </c>
      <c r="B5" s="3">
        <v>45825</v>
      </c>
      <c r="C5" s="2" t="s">
        <v>20</v>
      </c>
      <c r="D5" s="4">
        <v>0.30902777777777779</v>
      </c>
      <c r="E5" s="4">
        <v>0.41319444444444442</v>
      </c>
      <c r="F5" s="5">
        <f>IF(E5&gt;D5,E5-D5,IF(ISNUMBER(Stundenliste[[#This Row],[Von]]),"24:00"-(D5-E5),""))</f>
        <v>0.10416666666666663</v>
      </c>
      <c r="G5" s="2" t="s">
        <v>7</v>
      </c>
      <c r="I5" s="3" t="s">
        <v>11</v>
      </c>
      <c r="J5" s="10">
        <f>SUMIF(Stundenliste[Wer],I5,Stundenliste[Stunden])</f>
        <v>3.4999999999999991</v>
      </c>
      <c r="L5" t="s">
        <v>9</v>
      </c>
      <c r="M5" s="11">
        <f>SUM(J3,J7,J9,J11)</f>
        <v>9.25</v>
      </c>
      <c r="N5" s="17">
        <f t="shared" si="1"/>
        <v>9.25</v>
      </c>
      <c r="O5" s="17">
        <f t="shared" si="2"/>
        <v>0.15416666666666667</v>
      </c>
      <c r="P5" s="21">
        <f t="shared" si="0"/>
        <v>8.5648148148148154E-2</v>
      </c>
      <c r="Q5" s="20">
        <f t="shared" si="3"/>
        <v>1.2171052631578885</v>
      </c>
    </row>
    <row r="6" spans="1:21" x14ac:dyDescent="0.35">
      <c r="A6" s="2" t="str">
        <f>IF(ISNUMBER(B6),LEFT(TEXT(B6,"TTTT"),2)&amp;".","")</f>
        <v>Di.</v>
      </c>
      <c r="B6" s="3">
        <v>45832</v>
      </c>
      <c r="C6" s="2" t="s">
        <v>17</v>
      </c>
      <c r="D6" s="4">
        <v>0.30902777777777779</v>
      </c>
      <c r="E6" s="4">
        <v>0.60069444444444442</v>
      </c>
      <c r="F6" s="5">
        <f>IF(E6&gt;D6,E6-D6,IF(ISNUMBER(Stundenliste[[#This Row],[Von]]),"24:00"-(D6-E6),""))</f>
        <v>0.29166666666666663</v>
      </c>
      <c r="G6" s="2" t="s">
        <v>7</v>
      </c>
      <c r="I6" s="3"/>
      <c r="J6" s="10"/>
      <c r="L6" t="s">
        <v>48</v>
      </c>
      <c r="M6" s="11"/>
      <c r="N6" s="17"/>
      <c r="O6" s="18">
        <v>180</v>
      </c>
      <c r="P6" s="19">
        <f t="shared" si="0"/>
        <v>100</v>
      </c>
      <c r="Q6" s="20">
        <f>(P6)/100</f>
        <v>1</v>
      </c>
    </row>
    <row r="7" spans="1:21" x14ac:dyDescent="0.35">
      <c r="A7" s="2" t="str">
        <f>IF(ISNUMBER(B7),LEFT(TEXT(B7,"TTTT"),2)&amp;".","")</f>
        <v>Di.</v>
      </c>
      <c r="B7" s="3">
        <v>45881</v>
      </c>
      <c r="C7" s="2" t="s">
        <v>37</v>
      </c>
      <c r="D7" s="4">
        <v>0.75</v>
      </c>
      <c r="E7" s="4">
        <v>0.875</v>
      </c>
      <c r="F7" s="5">
        <f>IF(E7&gt;D7,E7-D7,IF(ISNUMBER(Stundenliste[[#This Row],[Von]]),"24:00"-(D7-E7),""))</f>
        <v>0.125</v>
      </c>
      <c r="G7" s="2" t="s">
        <v>7</v>
      </c>
      <c r="I7" s="3" t="s">
        <v>12</v>
      </c>
      <c r="J7" s="10">
        <f>SUMIF(Stundenliste[Wer],I7,Stundenliste[Stunden])</f>
        <v>0.77083333333333326</v>
      </c>
      <c r="M7" s="14">
        <f>SUM(F2:F154)</f>
        <v>17.125000000000011</v>
      </c>
      <c r="N7">
        <v>180</v>
      </c>
    </row>
    <row r="8" spans="1:21" x14ac:dyDescent="0.35">
      <c r="A8" s="2" t="str">
        <f>IF(ISNUMBER(B8),LEFT(TEXT(B8,"TTTT"),2)&amp;".","")</f>
        <v>Sa.</v>
      </c>
      <c r="B8" s="3">
        <v>45885</v>
      </c>
      <c r="C8" s="2" t="s">
        <v>21</v>
      </c>
      <c r="D8" s="4">
        <v>0.70833333333333337</v>
      </c>
      <c r="E8" s="4">
        <v>0.83333333333333337</v>
      </c>
      <c r="F8" s="5">
        <f>IF(E8&gt;D8,E8-D8,IF(ISNUMBER(Stundenliste[[#This Row],[Von]]),"24:00"-(D8-E8),""))</f>
        <v>0.125</v>
      </c>
      <c r="G8" s="2" t="s">
        <v>7</v>
      </c>
      <c r="I8" s="3" t="s">
        <v>13</v>
      </c>
      <c r="J8" s="10">
        <f>SUMIF(Stundenliste[Wer],I8,Stundenliste[Stunden])</f>
        <v>0.79166666666666674</v>
      </c>
      <c r="M8" s="15">
        <f>TEXT(M7,"[h]")+TEXT(M7,"mm")/60</f>
        <v>411</v>
      </c>
    </row>
    <row r="9" spans="1:21" x14ac:dyDescent="0.35">
      <c r="A9" s="2" t="str">
        <f>IF(ISNUMBER(B9),LEFT(TEXT(B9,"TTTT"),2)&amp;".","")</f>
        <v>Fr.</v>
      </c>
      <c r="B9" s="3">
        <v>45919</v>
      </c>
      <c r="C9" s="2" t="s">
        <v>23</v>
      </c>
      <c r="D9" s="4">
        <v>0.70833333333333337</v>
      </c>
      <c r="E9" s="4">
        <v>0.79166666666666663</v>
      </c>
      <c r="F9" s="5">
        <f>IF(E9&gt;D9,E9-D9,IF(ISNUMBER(Stundenliste[[#This Row],[Von]]),"24:00"-(D9-E9),""))</f>
        <v>8.3333333333333259E-2</v>
      </c>
      <c r="G9" s="2" t="s">
        <v>10</v>
      </c>
      <c r="I9" s="3" t="s">
        <v>14</v>
      </c>
      <c r="J9" s="10">
        <f>SUMIF(Stundenliste[Wer],I9,Stundenliste[Stunden])</f>
        <v>0.33333333333333337</v>
      </c>
    </row>
    <row r="10" spans="1:21" x14ac:dyDescent="0.35">
      <c r="A10" s="2" t="str">
        <f>IF(ISNUMBER(B10),LEFT(TEXT(B10,"TTTT"),2)&amp;".","")</f>
        <v>Sa.</v>
      </c>
      <c r="B10" s="3">
        <v>45920</v>
      </c>
      <c r="C10" s="2" t="s">
        <v>39</v>
      </c>
      <c r="D10" s="4">
        <v>0.5</v>
      </c>
      <c r="E10" s="4">
        <v>0.66666666666666663</v>
      </c>
      <c r="F10" s="5">
        <f>IF(E10&gt;D10,E10-D10,IF(ISNUMBER(Stundenliste[[#This Row],[Von]]),"24:00"-(D10-E10),""))</f>
        <v>0.16666666666666663</v>
      </c>
      <c r="G10" s="2" t="s">
        <v>12</v>
      </c>
      <c r="I10" s="3"/>
      <c r="J10" s="10"/>
    </row>
    <row r="11" spans="1:21" x14ac:dyDescent="0.35">
      <c r="A11" s="2" t="str">
        <f>IF(ISNUMBER(B11),LEFT(TEXT(B11,"TTTT"),2)&amp;".","")</f>
        <v>Mi.</v>
      </c>
      <c r="B11" s="3">
        <v>45924</v>
      </c>
      <c r="C11" s="2" t="s">
        <v>22</v>
      </c>
      <c r="D11" s="4">
        <v>0.58333333333333337</v>
      </c>
      <c r="E11" s="4">
        <v>0.66666666666666663</v>
      </c>
      <c r="F11" s="5">
        <f>IF(E11&gt;D11,E11-D11,IF(ISNUMBER(Stundenliste[[#This Row],[Von]]),"24:00"-(D11-E11),""))</f>
        <v>8.3333333333333259E-2</v>
      </c>
      <c r="G11" s="2" t="s">
        <v>12</v>
      </c>
      <c r="I11" s="3" t="s">
        <v>7</v>
      </c>
      <c r="J11" s="10">
        <f>SUMIF(Stundenliste[Wer],I11,Stundenliste[Stunden])</f>
        <v>4.3749999999999991</v>
      </c>
    </row>
    <row r="12" spans="1:21" x14ac:dyDescent="0.35">
      <c r="A12" s="2" t="str">
        <f>IF(ISNUMBER(B12),LEFT(TEXT(B12,"TTTT"),2)&amp;".","")</f>
        <v>So.</v>
      </c>
      <c r="B12" s="3">
        <v>45928</v>
      </c>
      <c r="C12" s="2" t="s">
        <v>24</v>
      </c>
      <c r="D12" s="4">
        <v>0.47916666666666669</v>
      </c>
      <c r="E12" s="4">
        <v>0.5625</v>
      </c>
      <c r="F12" s="5">
        <f>IF(E12&gt;D12,E12-D12,IF(ISNUMBER(Stundenliste[[#This Row],[Von]]),"24:00"-(D12-E12),""))</f>
        <v>8.3333333333333315E-2</v>
      </c>
      <c r="G12" s="12" t="s">
        <v>10</v>
      </c>
    </row>
    <row r="13" spans="1:21" x14ac:dyDescent="0.35">
      <c r="A13" s="2" t="str">
        <f>IF(ISNUMBER(B13),LEFT(TEXT(B13,"TTTT"),2)&amp;".","")</f>
        <v>Fr.</v>
      </c>
      <c r="B13" s="3">
        <v>45940</v>
      </c>
      <c r="C13" s="2" t="s">
        <v>35</v>
      </c>
      <c r="D13" s="4">
        <v>0.83333333333333337</v>
      </c>
      <c r="E13" s="4">
        <v>0.875</v>
      </c>
      <c r="F13" s="5">
        <f>IF(E13&gt;D13,E13-D13,IF(ISNUMBER(Stundenliste[[#This Row],[Von]]),"24:00"-(D13-E13),""))</f>
        <v>4.166666666666663E-2</v>
      </c>
      <c r="G13" s="2" t="s">
        <v>7</v>
      </c>
      <c r="I13" s="13"/>
      <c r="J13" s="9"/>
      <c r="K13" s="2"/>
    </row>
    <row r="14" spans="1:21" x14ac:dyDescent="0.35">
      <c r="A14" s="2" t="str">
        <f>IF(ISNUMBER(B14),LEFT(TEXT(B14,"TTTT"),2)&amp;".","")</f>
        <v>Mo.</v>
      </c>
      <c r="B14" s="3">
        <v>45957</v>
      </c>
      <c r="C14" s="2" t="s">
        <v>64</v>
      </c>
      <c r="D14" s="4">
        <v>0.41666666666666669</v>
      </c>
      <c r="E14" s="4">
        <v>0.54166666666666663</v>
      </c>
      <c r="F14" s="5">
        <f>IF(E14&gt;D14,E14-D14,IF(ISNUMBER(Stundenliste[[#This Row],[Von]]),"24:00"-(D14-E14),""))</f>
        <v>0.12499999999999994</v>
      </c>
      <c r="G14" s="2" t="s">
        <v>11</v>
      </c>
      <c r="I14" s="13"/>
      <c r="J14" s="9"/>
      <c r="K14" s="2"/>
      <c r="U14" t="s">
        <v>106</v>
      </c>
    </row>
    <row r="15" spans="1:21" x14ac:dyDescent="0.35">
      <c r="A15" s="2" t="str">
        <f>IF(ISNUMBER(B15),LEFT(TEXT(B15,"TTTT"),2)&amp;".","")</f>
        <v>Mi.</v>
      </c>
      <c r="B15" s="3">
        <v>45959</v>
      </c>
      <c r="C15" s="2" t="s">
        <v>65</v>
      </c>
      <c r="D15" s="4">
        <v>0.66666666666666663</v>
      </c>
      <c r="E15" s="4">
        <v>0.83333333333333337</v>
      </c>
      <c r="F15" s="5">
        <f>IF(E15&gt;D15,E15-D15,IF(ISNUMBER(Stundenliste[[#This Row],[Von]]),"24:00"-(D15-E15),""))</f>
        <v>0.16666666666666674</v>
      </c>
      <c r="G15" s="2" t="s">
        <v>11</v>
      </c>
    </row>
    <row r="16" spans="1:21" x14ac:dyDescent="0.35">
      <c r="A16" s="2" t="str">
        <f>IF(ISNUMBER(B16),LEFT(TEXT(B16,"TTTT"),2)&amp;".","")</f>
        <v>Do.</v>
      </c>
      <c r="B16" s="3">
        <v>45960</v>
      </c>
      <c r="C16" s="2" t="s">
        <v>66</v>
      </c>
      <c r="D16" s="4">
        <v>0.83333333333333337</v>
      </c>
      <c r="E16" s="4">
        <v>0.91666666666666663</v>
      </c>
      <c r="F16" s="5">
        <f>IF(E16&gt;D16,E16-D16,IF(ISNUMBER(Stundenliste[[#This Row],[Von]]),"24:00"-(D16-E16),""))</f>
        <v>8.3333333333333259E-2</v>
      </c>
      <c r="G16" s="2" t="s">
        <v>11</v>
      </c>
    </row>
    <row r="17" spans="1:7" x14ac:dyDescent="0.35">
      <c r="A17" s="2" t="str">
        <f>IF(ISNUMBER(B17),LEFT(TEXT(B17,"TTTT"),2)&amp;".","")</f>
        <v>Sa.</v>
      </c>
      <c r="B17" s="3">
        <v>45962</v>
      </c>
      <c r="C17" s="2" t="s">
        <v>67</v>
      </c>
      <c r="D17" s="4">
        <v>0.79166666666666663</v>
      </c>
      <c r="E17" s="4">
        <v>0.875</v>
      </c>
      <c r="F17" s="5">
        <f>IF(E17&gt;D17,E17-D17,IF(ISNUMBER(Stundenliste[[#This Row],[Von]]),"24:00"-(D17-E17),""))</f>
        <v>8.333333333333337E-2</v>
      </c>
      <c r="G17" s="2" t="s">
        <v>11</v>
      </c>
    </row>
    <row r="18" spans="1:7" x14ac:dyDescent="0.35">
      <c r="A18" s="2" t="str">
        <f>IF(ISNUMBER(B18),LEFT(TEXT(B18,"TTTT"),2)&amp;".","")</f>
        <v>So.</v>
      </c>
      <c r="B18" s="3">
        <v>45963</v>
      </c>
      <c r="C18" s="2" t="s">
        <v>68</v>
      </c>
      <c r="D18" s="4">
        <v>0.83333333333333337</v>
      </c>
      <c r="E18" s="4">
        <v>0.91666666666666663</v>
      </c>
      <c r="F18" s="5">
        <f>IF(E18&gt;D18,E18-D18,IF(ISNUMBER(Stundenliste[[#This Row],[Von]]),"24:00"-(D18-E18),""))</f>
        <v>8.3333333333333259E-2</v>
      </c>
      <c r="G18" s="2" t="s">
        <v>11</v>
      </c>
    </row>
    <row r="19" spans="1:7" x14ac:dyDescent="0.35">
      <c r="A19" s="2" t="str">
        <f>IF(ISNUMBER(B19),LEFT(TEXT(B19,"TTTT"),2)&amp;".","")</f>
        <v>Fr.</v>
      </c>
      <c r="B19" s="3">
        <v>45968</v>
      </c>
      <c r="C19" s="2" t="s">
        <v>36</v>
      </c>
      <c r="D19" s="4">
        <v>0.625</v>
      </c>
      <c r="E19" s="4">
        <v>0.70833333333333337</v>
      </c>
      <c r="F19" s="5">
        <f>IF(E19&gt;D19,E19-D19,IF(ISNUMBER(Stundenliste[[#This Row],[Von]]),"24:00"-(D19-E19),""))</f>
        <v>8.333333333333337E-2</v>
      </c>
      <c r="G19" s="2" t="s">
        <v>7</v>
      </c>
    </row>
    <row r="20" spans="1:7" x14ac:dyDescent="0.35">
      <c r="A20" s="2" t="str">
        <f>IF(ISNUMBER(B20),LEFT(TEXT(B20,"TTTT"),2)&amp;".","")</f>
        <v>Sa.</v>
      </c>
      <c r="B20" s="3">
        <v>45969</v>
      </c>
      <c r="C20" s="2" t="s">
        <v>29</v>
      </c>
      <c r="D20" s="4">
        <v>0.58333333333333337</v>
      </c>
      <c r="E20" s="4">
        <v>0.91666666666666663</v>
      </c>
      <c r="F20" s="5">
        <f>IF(E20&gt;D20,E20-D20,IF(ISNUMBER(Stundenliste[[#This Row],[Von]]),"24:00"-(D20-E20),""))</f>
        <v>0.33333333333333326</v>
      </c>
      <c r="G20" s="2" t="s">
        <v>9</v>
      </c>
    </row>
    <row r="21" spans="1:7" x14ac:dyDescent="0.35">
      <c r="A21" s="2" t="str">
        <f>IF(ISNUMBER(B21),LEFT(TEXT(B21,"TTTT"),2)&amp;".","")</f>
        <v>Sa.</v>
      </c>
      <c r="B21" s="3">
        <v>45969</v>
      </c>
      <c r="C21" s="2" t="s">
        <v>29</v>
      </c>
      <c r="D21" s="4">
        <v>0.58333333333333337</v>
      </c>
      <c r="E21" s="4">
        <v>0.83333333333333337</v>
      </c>
      <c r="F21" s="5">
        <f>IF(E21&gt;D21,E21-D21,IF(ISNUMBER(Stundenliste[[#This Row],[Von]]),"24:00"-(D21-E21),""))</f>
        <v>0.25</v>
      </c>
      <c r="G21" s="2" t="s">
        <v>13</v>
      </c>
    </row>
    <row r="22" spans="1:7" x14ac:dyDescent="0.35">
      <c r="A22" s="2" t="str">
        <f>IF(ISNUMBER(B22),LEFT(TEXT(B22,"TTTT"),2)&amp;".","")</f>
        <v>Mi.</v>
      </c>
      <c r="B22" s="3">
        <v>45973</v>
      </c>
      <c r="C22" s="2" t="s">
        <v>35</v>
      </c>
      <c r="D22" s="4">
        <v>0.49305555555555558</v>
      </c>
      <c r="E22" s="4">
        <v>0.52777777777777779</v>
      </c>
      <c r="F22" s="5">
        <f>IF(E22&gt;D22,E22-D22,IF(ISNUMBER(Stundenliste[[#This Row],[Von]]),"24:00"-(D22-E22),""))</f>
        <v>3.472222222222221E-2</v>
      </c>
      <c r="G22" s="2" t="s">
        <v>7</v>
      </c>
    </row>
    <row r="23" spans="1:7" x14ac:dyDescent="0.35">
      <c r="A23" s="2" t="str">
        <f>IF(ISNUMBER(B23),LEFT(TEXT(B23,"TTTT"),2)&amp;".","")</f>
        <v>Do.</v>
      </c>
      <c r="B23" s="3">
        <v>45974</v>
      </c>
      <c r="C23" s="2" t="s">
        <v>70</v>
      </c>
      <c r="D23" s="4">
        <v>0.625</v>
      </c>
      <c r="E23" s="4">
        <v>0.75</v>
      </c>
      <c r="F23" s="5">
        <f>IF(E23&gt;D23,E23-D23,IF(ISNUMBER(Stundenliste[[#This Row],[Von]]),"24:00"-(D23-E23),""))</f>
        <v>0.125</v>
      </c>
      <c r="G23" s="2" t="s">
        <v>11</v>
      </c>
    </row>
    <row r="24" spans="1:7" x14ac:dyDescent="0.35">
      <c r="A24" s="2" t="str">
        <f>IF(ISNUMBER(B24),LEFT(TEXT(B24,"TTTT"),2)&amp;".","")</f>
        <v>Mi.</v>
      </c>
      <c r="B24" s="3">
        <v>45980</v>
      </c>
      <c r="C24" s="2" t="s">
        <v>30</v>
      </c>
      <c r="D24" s="4">
        <v>0.70833333333333304</v>
      </c>
      <c r="E24" s="4">
        <v>0.79166666666666663</v>
      </c>
      <c r="F24" s="5">
        <f>IF(E24&gt;D24,E24-D24,IF(ISNUMBER(Stundenliste[[#This Row],[Von]]),"24:00"-(D24-E24),""))</f>
        <v>8.3333333333333592E-2</v>
      </c>
      <c r="G24" s="2" t="s">
        <v>7</v>
      </c>
    </row>
    <row r="25" spans="1:7" x14ac:dyDescent="0.35">
      <c r="A25" s="2" t="str">
        <f>IF(ISNUMBER(B25),LEFT(TEXT(B25,"TTTT"),2)&amp;".","")</f>
        <v>Mi.</v>
      </c>
      <c r="B25" s="3">
        <v>45980</v>
      </c>
      <c r="C25" s="2" t="s">
        <v>69</v>
      </c>
      <c r="D25" s="4">
        <v>0.70833333333333337</v>
      </c>
      <c r="E25" s="4">
        <v>0.79166666666666663</v>
      </c>
      <c r="F25" s="5">
        <f>IF(E25&gt;D25,E25-D25,IF(ISNUMBER(Stundenliste[[#This Row],[Von]]),"24:00"-(D25-E25),""))</f>
        <v>8.3333333333333259E-2</v>
      </c>
      <c r="G25" s="2" t="s">
        <v>11</v>
      </c>
    </row>
    <row r="26" spans="1:7" x14ac:dyDescent="0.35">
      <c r="A26" s="2" t="str">
        <f>IF(ISNUMBER(B26),LEFT(TEXT(B26,"TTTT"),2)&amp;".","")</f>
        <v>Do.</v>
      </c>
      <c r="B26" s="3">
        <v>45981</v>
      </c>
      <c r="C26" s="2" t="s">
        <v>30</v>
      </c>
      <c r="D26" s="4">
        <v>0.66666666666666663</v>
      </c>
      <c r="E26" s="4">
        <v>0.75</v>
      </c>
      <c r="F26" s="5">
        <f>IF(E26&gt;D26,E26-D26,IF(ISNUMBER(Stundenliste[[#This Row],[Von]]),"24:00"-(D26-E26),""))</f>
        <v>8.333333333333337E-2</v>
      </c>
      <c r="G26" s="2" t="s">
        <v>7</v>
      </c>
    </row>
    <row r="27" spans="1:7" x14ac:dyDescent="0.35">
      <c r="A27" s="2" t="str">
        <f>IF(ISNUMBER(B27),LEFT(TEXT(B27,"TTTT"),2)&amp;".","")</f>
        <v>Fr.</v>
      </c>
      <c r="B27" s="3">
        <v>45982</v>
      </c>
      <c r="C27" s="2" t="s">
        <v>28</v>
      </c>
      <c r="D27" s="4">
        <v>0.5</v>
      </c>
      <c r="E27" s="4">
        <v>0.625</v>
      </c>
      <c r="F27" s="5">
        <f>IF(E27&gt;D27,E27-D27,IF(ISNUMBER(Stundenliste[[#This Row],[Von]]),"24:00"-(D27-E27),""))</f>
        <v>0.125</v>
      </c>
      <c r="G27" s="2" t="s">
        <v>7</v>
      </c>
    </row>
    <row r="28" spans="1:7" x14ac:dyDescent="0.35">
      <c r="A28" s="2" t="str">
        <f>IF(ISNUMBER(B28),LEFT(TEXT(B28,"TTTT"),2)&amp;".","")</f>
        <v>Fr.</v>
      </c>
      <c r="B28" s="3">
        <v>45982</v>
      </c>
      <c r="C28" s="2" t="s">
        <v>40</v>
      </c>
      <c r="D28" s="4">
        <v>0.58333333333333337</v>
      </c>
      <c r="E28" s="4">
        <v>0.66666666666666663</v>
      </c>
      <c r="F28" s="5">
        <f>IF(E28&gt;D28,E28-D28,IF(ISNUMBER(Stundenliste[[#This Row],[Von]]),"24:00"-(D28-E28),""))</f>
        <v>8.3333333333333259E-2</v>
      </c>
      <c r="G28" s="2" t="s">
        <v>7</v>
      </c>
    </row>
    <row r="29" spans="1:7" x14ac:dyDescent="0.35">
      <c r="A29" s="2" t="str">
        <f>IF(ISNUMBER(B29),LEFT(TEXT(B29,"TTTT"),2)&amp;".","")</f>
        <v>Fr.</v>
      </c>
      <c r="B29" s="3">
        <v>45982</v>
      </c>
      <c r="C29" s="2" t="s">
        <v>110</v>
      </c>
      <c r="D29" s="4">
        <v>0.16666666666666666</v>
      </c>
      <c r="E29" s="4">
        <v>0.25</v>
      </c>
      <c r="F29" s="5">
        <f>IF(E29&gt;D29,E29-D29,IF(ISNUMBER(Stundenliste[[#This Row],[Von]]),"24:00"-(D29-E29),""))</f>
        <v>8.3333333333333343E-2</v>
      </c>
      <c r="G29" s="2" t="s">
        <v>9</v>
      </c>
    </row>
    <row r="30" spans="1:7" x14ac:dyDescent="0.35">
      <c r="A30" s="2" t="str">
        <f>IF(ISNUMBER(B30),LEFT(TEXT(B30,"TTTT"),2)&amp;".","")</f>
        <v>Sa.</v>
      </c>
      <c r="B30" s="3">
        <v>45983</v>
      </c>
      <c r="C30" s="2" t="s">
        <v>28</v>
      </c>
      <c r="D30" s="4">
        <v>0.33333333333333331</v>
      </c>
      <c r="E30" s="4">
        <v>0.45833333333333331</v>
      </c>
      <c r="F30" s="5">
        <f>IF(E30&gt;D30,E30-D30,IF(ISNUMBER(Stundenliste[[#This Row],[Von]]),"24:00"-(D30-E30),""))</f>
        <v>0.125</v>
      </c>
      <c r="G30" s="2" t="s">
        <v>7</v>
      </c>
    </row>
    <row r="31" spans="1:7" x14ac:dyDescent="0.35">
      <c r="A31" s="2" t="str">
        <f>IF(ISNUMBER(B31),LEFT(TEXT(B31,"TTTT"),2)&amp;".","")</f>
        <v>Sa.</v>
      </c>
      <c r="B31" s="3">
        <v>45983</v>
      </c>
      <c r="C31" s="2" t="s">
        <v>110</v>
      </c>
      <c r="D31" s="4">
        <v>0.125</v>
      </c>
      <c r="E31" s="4">
        <v>0.20833333333333334</v>
      </c>
      <c r="F31" s="5">
        <f>IF(E31&gt;D31,E31-D31,IF(ISNUMBER(Stundenliste[[#This Row],[Von]]),"24:00"-(D31-E31),""))</f>
        <v>8.3333333333333343E-2</v>
      </c>
      <c r="G31" s="2" t="s">
        <v>9</v>
      </c>
    </row>
    <row r="32" spans="1:7" x14ac:dyDescent="0.35">
      <c r="A32" s="2" t="str">
        <f>IF(ISNUMBER(B32),LEFT(TEXT(B32,"TTTT"),2)&amp;".","")</f>
        <v>Sa.</v>
      </c>
      <c r="B32" s="3">
        <v>45990</v>
      </c>
      <c r="C32" s="2" t="s">
        <v>33</v>
      </c>
      <c r="D32" s="4">
        <v>0.83333333333333337</v>
      </c>
      <c r="E32" s="4">
        <v>1</v>
      </c>
      <c r="F32" s="5">
        <f>IF(E32&gt;D32,E32-D32,IF(ISNUMBER(Stundenliste[[#This Row],[Von]]),"24:00"-(D32-E32),""))</f>
        <v>0.16666666666666663</v>
      </c>
      <c r="G32" s="2" t="s">
        <v>10</v>
      </c>
    </row>
    <row r="33" spans="1:7" x14ac:dyDescent="0.35">
      <c r="A33" s="2" t="str">
        <f>IF(ISNUMBER(B33),LEFT(TEXT(B33,"TTTT"),2)&amp;".","")</f>
        <v>Fr.</v>
      </c>
      <c r="B33" s="3">
        <v>45996</v>
      </c>
      <c r="C33" s="2" t="s">
        <v>38</v>
      </c>
      <c r="D33" s="4">
        <v>0.70833333333333337</v>
      </c>
      <c r="E33" s="4">
        <v>0.79166666666666663</v>
      </c>
      <c r="F33" s="5">
        <f>IF(E33&gt;D33,E33-D33,IF(ISNUMBER(Stundenliste[[#This Row],[Von]]),"24:00"-(D33-E33),""))</f>
        <v>8.3333333333333259E-2</v>
      </c>
      <c r="G33" s="2" t="s">
        <v>10</v>
      </c>
    </row>
    <row r="34" spans="1:7" x14ac:dyDescent="0.35">
      <c r="A34" s="2" t="str">
        <f>IF(ISNUMBER(B34),LEFT(TEXT(B34,"TTTT"),2)&amp;".","")</f>
        <v>Mo.</v>
      </c>
      <c r="B34" s="3">
        <v>45999</v>
      </c>
      <c r="C34" s="2" t="s">
        <v>32</v>
      </c>
      <c r="D34" s="4">
        <v>0.45833333333333331</v>
      </c>
      <c r="E34" s="4">
        <v>0.49305555555555558</v>
      </c>
      <c r="F34" s="5">
        <f>IF(E34&gt;D34,E34-D34,IF(ISNUMBER(Stundenliste[[#This Row],[Von]]),"24:00"-(D34-E34),""))</f>
        <v>3.4722222222222265E-2</v>
      </c>
      <c r="G34" s="2" t="s">
        <v>7</v>
      </c>
    </row>
    <row r="35" spans="1:7" x14ac:dyDescent="0.35">
      <c r="A35" s="2" t="str">
        <f>IF(ISNUMBER(B35),LEFT(TEXT(B35,"TTTT"),2)&amp;".","")</f>
        <v>Mi.</v>
      </c>
      <c r="B35" s="3">
        <v>46001</v>
      </c>
      <c r="C35" s="2" t="s">
        <v>25</v>
      </c>
      <c r="D35" s="4">
        <v>0.52777777777777779</v>
      </c>
      <c r="E35" s="4">
        <v>0.67361111111111116</v>
      </c>
      <c r="F35" s="5">
        <f>IF(E35&gt;D35,E35-D35,IF(ISNUMBER(Stundenliste[[#This Row],[Von]]),"24:00"-(D35-E35),""))</f>
        <v>0.14583333333333337</v>
      </c>
      <c r="G35" s="2" t="s">
        <v>12</v>
      </c>
    </row>
    <row r="36" spans="1:7" x14ac:dyDescent="0.35">
      <c r="A36" s="2" t="str">
        <f>IF(ISNUMBER(B36),LEFT(TEXT(B36,"TTTT"),2)&amp;".","")</f>
        <v>Mi.</v>
      </c>
      <c r="B36" s="3">
        <v>46001</v>
      </c>
      <c r="C36" s="2" t="s">
        <v>25</v>
      </c>
      <c r="D36" s="4">
        <v>0.58333333333333337</v>
      </c>
      <c r="E36" s="4">
        <v>0.67361111111111116</v>
      </c>
      <c r="F36" s="5">
        <f>IF(E36&gt;D36,E36-D36,IF(ISNUMBER(Stundenliste[[#This Row],[Von]]),"24:00"-(D36-E36),""))</f>
        <v>9.027777777777779E-2</v>
      </c>
      <c r="G36" s="2" t="s">
        <v>11</v>
      </c>
    </row>
    <row r="37" spans="1:7" x14ac:dyDescent="0.35">
      <c r="A37" s="2" t="str">
        <f>IF(ISNUMBER(B37),LEFT(TEXT(B37,"TTTT"),2)&amp;".","")</f>
        <v>Mi.</v>
      </c>
      <c r="B37" s="3">
        <v>46001</v>
      </c>
      <c r="C37" s="2" t="s">
        <v>35</v>
      </c>
      <c r="D37" s="4">
        <v>0.49305555555555558</v>
      </c>
      <c r="E37" s="4">
        <v>0.52777777777777779</v>
      </c>
      <c r="F37" s="5">
        <f>IF(E37&gt;D37,E37-D37,IF(ISNUMBER(Stundenliste[[#This Row],[Von]]),"24:00"-(D37-E37),""))</f>
        <v>3.472222222222221E-2</v>
      </c>
      <c r="G37" s="2" t="s">
        <v>7</v>
      </c>
    </row>
    <row r="38" spans="1:7" x14ac:dyDescent="0.35">
      <c r="A38" s="2" t="str">
        <f>IF(ISNUMBER(B38),LEFT(TEXT(B38,"TTTT"),2)&amp;".","")</f>
        <v>Mo.</v>
      </c>
      <c r="B38" s="3">
        <v>46013</v>
      </c>
      <c r="C38" s="2" t="s">
        <v>31</v>
      </c>
      <c r="D38" s="4">
        <v>0.58333333333333337</v>
      </c>
      <c r="E38" s="4">
        <v>0.67361111111111116</v>
      </c>
      <c r="F38" s="5">
        <f>IF(E38&gt;D38,E38-D38,IF(ISNUMBER(Stundenliste[[#This Row],[Von]]),"24:00"-(D38-E38),""))</f>
        <v>9.027777777777779E-2</v>
      </c>
      <c r="G38" s="2" t="s">
        <v>7</v>
      </c>
    </row>
    <row r="39" spans="1:7" x14ac:dyDescent="0.35">
      <c r="A39" s="2" t="str">
        <f>IF(ISNUMBER(B39),LEFT(TEXT(B39,"TTTT"),2)&amp;".","")</f>
        <v>Mo.</v>
      </c>
      <c r="B39" s="3">
        <v>46013</v>
      </c>
      <c r="C39" s="2" t="s">
        <v>35</v>
      </c>
      <c r="D39" s="4">
        <v>0.49305555555555558</v>
      </c>
      <c r="E39" s="4">
        <v>0.52777777777777779</v>
      </c>
      <c r="F39" s="5">
        <f>IF(E39&gt;D39,E39-D39,IF(ISNUMBER(Stundenliste[[#This Row],[Von]]),"24:00"-(D39-E39),""))</f>
        <v>3.472222222222221E-2</v>
      </c>
      <c r="G39" s="2" t="s">
        <v>7</v>
      </c>
    </row>
    <row r="40" spans="1:7" x14ac:dyDescent="0.35">
      <c r="A40" s="2" t="str">
        <f>IF(ISNUMBER(B40),LEFT(TEXT(B40,"TTTT"),2)&amp;".","")</f>
        <v>Fr.</v>
      </c>
      <c r="B40" s="3">
        <v>46017</v>
      </c>
      <c r="C40" s="2" t="s">
        <v>26</v>
      </c>
      <c r="D40" s="4">
        <v>0.75</v>
      </c>
      <c r="E40" s="4">
        <v>1</v>
      </c>
      <c r="F40" s="5">
        <f>IF(E40&gt;D40,E40-D40,IF(ISNUMBER(Stundenliste[[#This Row],[Von]]),"24:00"-(D40-E40),""))</f>
        <v>0.25</v>
      </c>
      <c r="G40" s="2" t="s">
        <v>10</v>
      </c>
    </row>
    <row r="41" spans="1:7" x14ac:dyDescent="0.35">
      <c r="A41" s="2" t="str">
        <f>IF(ISNUMBER(B41),LEFT(TEXT(B41,"TTTT"),2)&amp;".","")</f>
        <v>Fr.</v>
      </c>
      <c r="B41" s="3">
        <v>46017</v>
      </c>
      <c r="C41" s="2" t="s">
        <v>27</v>
      </c>
      <c r="D41" s="4">
        <v>0.77083333333333337</v>
      </c>
      <c r="E41" s="4">
        <v>0.9375</v>
      </c>
      <c r="F41" s="5">
        <f>IF(E41&gt;D41,E41-D41,IF(ISNUMBER(Stundenliste[[#This Row],[Von]]),"24:00"-(D41-E41),""))</f>
        <v>0.16666666666666663</v>
      </c>
      <c r="G41" s="2" t="s">
        <v>9</v>
      </c>
    </row>
    <row r="42" spans="1:7" x14ac:dyDescent="0.35">
      <c r="A42" s="2" t="str">
        <f>IF(ISNUMBER(B42),LEFT(TEXT(B42,"TTTT"),2)&amp;".","")</f>
        <v>Mo.</v>
      </c>
      <c r="B42" s="3">
        <v>46020</v>
      </c>
      <c r="C42" s="2" t="s">
        <v>34</v>
      </c>
      <c r="D42" s="4">
        <v>0.5</v>
      </c>
      <c r="E42" s="4">
        <v>0.60416666666666663</v>
      </c>
      <c r="F42" s="5">
        <f>IF(E42&gt;D42,E42-D42,IF(ISNUMBER(Stundenliste[[#This Row],[Von]]),"24:00"-(D42-E42),""))</f>
        <v>0.10416666666666663</v>
      </c>
      <c r="G42" s="2" t="s">
        <v>9</v>
      </c>
    </row>
    <row r="43" spans="1:7" x14ac:dyDescent="0.35">
      <c r="A43" s="2" t="str">
        <f>IF(ISNUMBER(B43),LEFT(TEXT(B43,"TTTT"),2)&amp;".","")</f>
        <v>Mo.</v>
      </c>
      <c r="B43" s="3">
        <v>46020</v>
      </c>
      <c r="C43" s="2" t="s">
        <v>34</v>
      </c>
      <c r="D43" s="4">
        <v>0.5</v>
      </c>
      <c r="E43" s="4">
        <v>0.75</v>
      </c>
      <c r="F43" s="5">
        <f>IF(E43&gt;D43,E43-D43,IF(ISNUMBER(Stundenliste[[#This Row],[Von]]),"24:00"-(D43-E43),""))</f>
        <v>0.25</v>
      </c>
      <c r="G43" s="2" t="s">
        <v>13</v>
      </c>
    </row>
    <row r="44" spans="1:7" x14ac:dyDescent="0.35">
      <c r="A44" s="2" t="str">
        <f>IF(ISNUMBER(B44),LEFT(TEXT(B44,"TTTT"),2)&amp;".","")</f>
        <v>Fr.</v>
      </c>
      <c r="B44" s="3">
        <v>46024</v>
      </c>
      <c r="C44" s="2" t="s">
        <v>44</v>
      </c>
      <c r="D44" s="4">
        <v>0.5</v>
      </c>
      <c r="E44" s="4">
        <v>0.58333333333333337</v>
      </c>
      <c r="F44" s="5">
        <f>IF(E44&gt;D44,E44-D44,IF(ISNUMBER(Stundenliste[[#This Row],[Von]]),"24:00"-(D44-E44),""))</f>
        <v>8.333333333333337E-2</v>
      </c>
      <c r="G44" s="2" t="s">
        <v>10</v>
      </c>
    </row>
    <row r="45" spans="1:7" x14ac:dyDescent="0.35">
      <c r="A45" s="2" t="str">
        <f>IF(ISNUMBER(B45),LEFT(TEXT(B45,"TTTT"),2)&amp;".","")</f>
        <v>Sa.</v>
      </c>
      <c r="B45" s="3">
        <v>46025</v>
      </c>
      <c r="C45" s="2" t="s">
        <v>45</v>
      </c>
      <c r="D45" s="4">
        <v>0.5</v>
      </c>
      <c r="E45" s="4">
        <v>0.58333333333333337</v>
      </c>
      <c r="F45" s="5">
        <f>IF(E45&gt;D45,E45-D45,IF(ISNUMBER(Stundenliste[[#This Row],[Von]]),"24:00"-(D45-E45),""))</f>
        <v>8.333333333333337E-2</v>
      </c>
      <c r="G45" s="2" t="s">
        <v>10</v>
      </c>
    </row>
    <row r="46" spans="1:7" x14ac:dyDescent="0.35">
      <c r="A46" s="2" t="str">
        <f>IF(ISNUMBER(B46),LEFT(TEXT(B46,"TTTT"),2)&amp;".","")</f>
        <v>Sa.</v>
      </c>
      <c r="B46" s="3">
        <v>46025</v>
      </c>
      <c r="C46" s="2" t="s">
        <v>97</v>
      </c>
      <c r="D46" s="4">
        <v>0.41666666666666669</v>
      </c>
      <c r="E46" s="4">
        <v>0.58333333333333337</v>
      </c>
      <c r="F46" s="5">
        <f>IF(E46&gt;D46,E46-D46,IF(ISNUMBER(Stundenliste[[#This Row],[Von]]),"24:00"-(D46-E46),""))</f>
        <v>0.16666666666666669</v>
      </c>
      <c r="G46" s="2" t="s">
        <v>11</v>
      </c>
    </row>
    <row r="47" spans="1:7" x14ac:dyDescent="0.35">
      <c r="A47" s="2" t="str">
        <f>IF(ISNUMBER(B47),LEFT(TEXT(B47,"TTTT"),2)&amp;".","")</f>
        <v>So.</v>
      </c>
      <c r="B47" s="3">
        <v>46026</v>
      </c>
      <c r="C47" s="2" t="s">
        <v>46</v>
      </c>
      <c r="D47" s="4">
        <v>0.70833333333333337</v>
      </c>
      <c r="E47" s="4">
        <v>0.875</v>
      </c>
      <c r="F47" s="5">
        <f>IF(E47&gt;D47,E47-D47,IF(ISNUMBER(Stundenliste[[#This Row],[Von]]),"24:00"-(D47-E47),""))</f>
        <v>0.16666666666666663</v>
      </c>
      <c r="G47" s="2" t="s">
        <v>7</v>
      </c>
    </row>
    <row r="48" spans="1:7" x14ac:dyDescent="0.35">
      <c r="A48" s="2" t="str">
        <f>IF(ISNUMBER(B48),LEFT(TEXT(B48,"TTTT"),2)&amp;".","")</f>
        <v>So.</v>
      </c>
      <c r="B48" s="3">
        <v>46026</v>
      </c>
      <c r="C48" s="2" t="s">
        <v>98</v>
      </c>
      <c r="D48" s="4">
        <v>0.58333333333333337</v>
      </c>
      <c r="E48" s="4">
        <v>0.75</v>
      </c>
      <c r="F48" s="5">
        <f>IF(E48&gt;D48,E48-D48,IF(ISNUMBER(Stundenliste[[#This Row],[Von]]),"24:00"-(D48-E48),""))</f>
        <v>0.16666666666666663</v>
      </c>
      <c r="G48" s="2" t="s">
        <v>11</v>
      </c>
    </row>
    <row r="49" spans="1:7" x14ac:dyDescent="0.35">
      <c r="A49" s="2" t="str">
        <f>IF(ISNUMBER(B49),LEFT(TEXT(B49,"TTTT"),2)&amp;".","")</f>
        <v>Fr.</v>
      </c>
      <c r="B49" s="3">
        <v>46031</v>
      </c>
      <c r="C49" s="2" t="s">
        <v>47</v>
      </c>
      <c r="D49" s="4">
        <v>0.30902777777777779</v>
      </c>
      <c r="E49" s="4">
        <v>0.35069444444444442</v>
      </c>
      <c r="F49" s="5">
        <f>IF(E49&gt;D49,E49-D49,IF(ISNUMBER(Stundenliste[[#This Row],[Von]]),"24:00"-(D49-E49),""))</f>
        <v>4.166666666666663E-2</v>
      </c>
      <c r="G49" s="2" t="s">
        <v>7</v>
      </c>
    </row>
    <row r="50" spans="1:7" x14ac:dyDescent="0.35">
      <c r="A50" s="2" t="str">
        <f>IF(ISNUMBER(B50),LEFT(TEXT(B50,"TTTT"),2)&amp;".","")</f>
        <v>Fr.</v>
      </c>
      <c r="B50" s="3">
        <v>46038</v>
      </c>
      <c r="C50" s="2" t="s">
        <v>50</v>
      </c>
      <c r="D50" s="4">
        <v>0.66666666666666663</v>
      </c>
      <c r="E50" s="4">
        <v>0.83333333333333337</v>
      </c>
      <c r="F50" s="5">
        <f>IF(E50&gt;D50,E50-D50,IF(ISNUMBER(Stundenliste[[#This Row],[Von]]),"24:00"-(D50-E50),""))</f>
        <v>0.16666666666666674</v>
      </c>
      <c r="G50" s="2" t="s">
        <v>7</v>
      </c>
    </row>
    <row r="51" spans="1:7" x14ac:dyDescent="0.35">
      <c r="A51" s="2" t="str">
        <f>IF(ISNUMBER(B51),LEFT(TEXT(B51,"TTTT"),2)&amp;".","")</f>
        <v>Sa.</v>
      </c>
      <c r="B51" s="3">
        <v>46039</v>
      </c>
      <c r="C51" s="2" t="s">
        <v>51</v>
      </c>
      <c r="D51" s="4">
        <v>0.66666666666666663</v>
      </c>
      <c r="E51" s="4">
        <v>0.83333333333333337</v>
      </c>
      <c r="F51" s="5">
        <f>IF(E51&gt;D51,E51-D51,IF(ISNUMBER(Stundenliste[[#This Row],[Von]]),"24:00"-(D51-E51),""))</f>
        <v>0.16666666666666674</v>
      </c>
      <c r="G51" s="2" t="s">
        <v>10</v>
      </c>
    </row>
    <row r="52" spans="1:7" x14ac:dyDescent="0.35">
      <c r="A52" s="2" t="str">
        <f>IF(ISNUMBER(B52),LEFT(TEXT(B52,"TTTT"),2)&amp;".","")</f>
        <v>So.</v>
      </c>
      <c r="B52" s="3">
        <v>46040</v>
      </c>
      <c r="C52" s="2" t="s">
        <v>111</v>
      </c>
      <c r="D52" s="4">
        <v>0.375</v>
      </c>
      <c r="E52" s="4">
        <v>0.58333333333333337</v>
      </c>
      <c r="F52" s="5">
        <f>IF(E52&gt;D52,E52-D52,IF(ISNUMBER(Stundenliste[[#This Row],[Von]]),"24:00"-(D52-E52),""))</f>
        <v>0.20833333333333337</v>
      </c>
      <c r="G52" s="2" t="s">
        <v>14</v>
      </c>
    </row>
    <row r="53" spans="1:7" x14ac:dyDescent="0.35">
      <c r="A53" s="2" t="str">
        <f>IF(ISNUMBER(B53),LEFT(TEXT(B53,"TTTT"),2)&amp;".","")</f>
        <v>Di.</v>
      </c>
      <c r="B53" s="3">
        <v>46042</v>
      </c>
      <c r="C53" s="2" t="s">
        <v>52</v>
      </c>
      <c r="D53" s="4">
        <v>0.91666666666666663</v>
      </c>
      <c r="E53" s="16">
        <v>1</v>
      </c>
      <c r="F53" s="5">
        <f>IF(E53&gt;D53,E53-D53,IF(ISNUMBER(Stundenliste[[#This Row],[Von]]),"24:00"-(D53-E53),""))</f>
        <v>8.333333333333337E-2</v>
      </c>
      <c r="G53" s="2" t="s">
        <v>10</v>
      </c>
    </row>
    <row r="54" spans="1:7" x14ac:dyDescent="0.35">
      <c r="A54" s="2" t="str">
        <f>IF(ISNUMBER(B54),LEFT(TEXT(B54,"TTTT"),2)&amp;".","")</f>
        <v>Di.</v>
      </c>
      <c r="B54" s="3">
        <v>46042</v>
      </c>
      <c r="C54" s="2" t="s">
        <v>112</v>
      </c>
      <c r="D54" s="4">
        <v>0.75</v>
      </c>
      <c r="E54" s="4">
        <v>0.83333333333333337</v>
      </c>
      <c r="F54" s="5">
        <f>IF(E54&gt;D54,E54-D54,IF(ISNUMBER(Stundenliste[[#This Row],[Von]]),"24:00"-(D54-E54),""))</f>
        <v>8.333333333333337E-2</v>
      </c>
      <c r="G54" s="2" t="s">
        <v>11</v>
      </c>
    </row>
    <row r="55" spans="1:7" x14ac:dyDescent="0.35">
      <c r="A55" s="2" t="str">
        <f>IF(ISNUMBER(B55),LEFT(TEXT(B55,"TTTT"),2)&amp;".","")</f>
        <v>So.</v>
      </c>
      <c r="B55" s="3">
        <v>46047</v>
      </c>
      <c r="C55" s="2" t="s">
        <v>113</v>
      </c>
      <c r="D55" s="4">
        <v>0.33333333333333331</v>
      </c>
      <c r="E55" s="4">
        <v>0.54166666666666663</v>
      </c>
      <c r="F55" s="5">
        <f>IF(E55&gt;D55,E55-D55,IF(ISNUMBER(Stundenliste[[#This Row],[Von]]),"24:00"-(D55-E55),""))</f>
        <v>0.20833333333333331</v>
      </c>
      <c r="G55" s="2" t="s">
        <v>7</v>
      </c>
    </row>
    <row r="56" spans="1:7" x14ac:dyDescent="0.35">
      <c r="A56" s="2" t="str">
        <f>IF(ISNUMBER(B56),LEFT(TEXT(B56,"TTTT"),2)&amp;".","")</f>
        <v>Mi.</v>
      </c>
      <c r="B56" s="3">
        <v>46050</v>
      </c>
      <c r="C56" s="2" t="s">
        <v>86</v>
      </c>
      <c r="D56" s="4">
        <v>0.72222222222222221</v>
      </c>
      <c r="E56" s="4">
        <v>0.76388888888888884</v>
      </c>
      <c r="F56" s="5">
        <f>IF(E56&gt;D56,E56-D56,IF(ISNUMBER(Stundenliste[[#This Row],[Von]]),"24:00"-(D56-E56),""))</f>
        <v>4.166666666666663E-2</v>
      </c>
      <c r="G56" s="2" t="s">
        <v>10</v>
      </c>
    </row>
    <row r="57" spans="1:7" x14ac:dyDescent="0.35">
      <c r="A57" s="2" t="str">
        <f>IF(ISNUMBER(B57),LEFT(TEXT(B57,"TTTT"),2)&amp;".","")</f>
        <v>Di.</v>
      </c>
      <c r="B57" s="3">
        <v>46056</v>
      </c>
      <c r="C57" s="2" t="s">
        <v>114</v>
      </c>
      <c r="D57" s="4">
        <v>0.70833333333333337</v>
      </c>
      <c r="E57" s="4">
        <v>0.83333333333333337</v>
      </c>
      <c r="F57" s="5">
        <f>IF(E57&gt;D57,E57-D57,IF(ISNUMBER(Stundenliste[[#This Row],[Von]]),"24:00"-(D57-E57),""))</f>
        <v>0.125</v>
      </c>
      <c r="G57" s="2" t="s">
        <v>14</v>
      </c>
    </row>
    <row r="58" spans="1:7" x14ac:dyDescent="0.35">
      <c r="A58" s="2" t="str">
        <f>IF(ISNUMBER(B58),LEFT(TEXT(B58,"TTTT"),2)&amp;".","")</f>
        <v>Mi.</v>
      </c>
      <c r="B58" s="3">
        <v>46057</v>
      </c>
      <c r="C58" s="2" t="s">
        <v>53</v>
      </c>
      <c r="D58" s="4">
        <v>0.91666666666666663</v>
      </c>
      <c r="E58" s="16">
        <v>1</v>
      </c>
      <c r="F58" s="5">
        <f>IF(E58&gt;D58,E58-D58,IF(ISNUMBER(Stundenliste[[#This Row],[Von]]),"24:00"-(D58-E58),""))</f>
        <v>8.333333333333337E-2</v>
      </c>
      <c r="G58" s="2" t="s">
        <v>10</v>
      </c>
    </row>
    <row r="59" spans="1:7" x14ac:dyDescent="0.35">
      <c r="A59" s="2" t="str">
        <f>IF(ISNUMBER(B59),LEFT(TEXT(B59,"TTTT"),2)&amp;".","")</f>
        <v>Mo.</v>
      </c>
      <c r="B59" s="3">
        <v>46062</v>
      </c>
      <c r="C59" s="2" t="s">
        <v>55</v>
      </c>
      <c r="D59" s="4">
        <v>0.70833333333333337</v>
      </c>
      <c r="E59" s="4">
        <v>0.75</v>
      </c>
      <c r="F59" s="5">
        <f>IF(E59&gt;D59,E59-D59,IF(ISNUMBER(Stundenliste[[#This Row],[Von]]),"24:00"-(D59-E59),""))</f>
        <v>4.166666666666663E-2</v>
      </c>
      <c r="G59" s="2" t="s">
        <v>10</v>
      </c>
    </row>
    <row r="60" spans="1:7" x14ac:dyDescent="0.35">
      <c r="A60" s="2" t="str">
        <f>IF(ISNUMBER(B60),LEFT(TEXT(B60,"TTTT"),2)&amp;".","")</f>
        <v>Sa.</v>
      </c>
      <c r="B60" s="3">
        <v>46067</v>
      </c>
      <c r="C60" s="2" t="s">
        <v>54</v>
      </c>
      <c r="D60" s="4">
        <v>0.66666666666666663</v>
      </c>
      <c r="E60" s="4">
        <v>0.875</v>
      </c>
      <c r="F60" s="5">
        <f>IF(E60&gt;D60,E60-D60,IF(ISNUMBER(Stundenliste[[#This Row],[Von]]),"24:00"-(D60-E60),""))</f>
        <v>0.20833333333333337</v>
      </c>
      <c r="G60" s="2" t="s">
        <v>13</v>
      </c>
    </row>
    <row r="61" spans="1:7" x14ac:dyDescent="0.35">
      <c r="A61" s="2" t="str">
        <f>IF(ISNUMBER(B61),LEFT(TEXT(B61,"TTTT"),2)&amp;".","")</f>
        <v>Sa.</v>
      </c>
      <c r="B61" s="3">
        <v>46067</v>
      </c>
      <c r="C61" s="2" t="s">
        <v>132</v>
      </c>
      <c r="D61" s="4">
        <v>0.58333333333333337</v>
      </c>
      <c r="E61" s="4">
        <v>0.75</v>
      </c>
      <c r="F61" s="5">
        <f>IF(E61&gt;D61,E61-D61,IF(ISNUMBER(Stundenliste[[#This Row],[Von]]),"24:00"-(D61-E61),""))</f>
        <v>0.16666666666666663</v>
      </c>
      <c r="G61" s="2" t="s">
        <v>9</v>
      </c>
    </row>
    <row r="62" spans="1:7" x14ac:dyDescent="0.35">
      <c r="A62" s="2" t="str">
        <f>IF(ISNUMBER(B62),LEFT(TEXT(B62,"TTTT"),2)&amp;".","")</f>
        <v>Fr.</v>
      </c>
      <c r="B62" s="3">
        <v>46073</v>
      </c>
      <c r="C62" s="2" t="s">
        <v>56</v>
      </c>
      <c r="D62" s="4">
        <v>0.54166666666666663</v>
      </c>
      <c r="E62" s="4">
        <v>0.66666666666666663</v>
      </c>
      <c r="F62" s="5">
        <f>IF(E62&gt;D62,E62-D62,IF(ISNUMBER(Stundenliste[[#This Row],[Von]]),"24:00"-(D62-E62),""))</f>
        <v>0.125</v>
      </c>
      <c r="G62" s="2" t="s">
        <v>9</v>
      </c>
    </row>
    <row r="63" spans="1:7" x14ac:dyDescent="0.35">
      <c r="A63" s="2" t="str">
        <f>IF(ISNUMBER(B63),LEFT(TEXT(B63,"TTTT"),2)&amp;".","")</f>
        <v>Sa.</v>
      </c>
      <c r="B63" s="3">
        <v>46074</v>
      </c>
      <c r="C63" s="2" t="s">
        <v>57</v>
      </c>
      <c r="D63" s="4">
        <v>0.75</v>
      </c>
      <c r="E63" s="4">
        <v>0</v>
      </c>
      <c r="F63" s="5">
        <f>IF(E63&gt;D63,E63-D63,IF(ISNUMBER(Stundenliste[[#This Row],[Von]]),"24:00"-(D63-E63),""))</f>
        <v>0.25</v>
      </c>
      <c r="G63" s="2" t="s">
        <v>7</v>
      </c>
    </row>
    <row r="64" spans="1:7" x14ac:dyDescent="0.35">
      <c r="A64" s="2" t="str">
        <f>IF(ISNUMBER(B64),LEFT(TEXT(B64,"TTTT"),2)&amp;".","")</f>
        <v>Di.</v>
      </c>
      <c r="B64" s="3">
        <v>46077</v>
      </c>
      <c r="C64" s="2" t="s">
        <v>58</v>
      </c>
      <c r="D64" s="4">
        <v>0.75</v>
      </c>
      <c r="E64" s="4">
        <v>0.8125</v>
      </c>
      <c r="F64" s="5">
        <f>IF(E64&gt;D64,E64-D64,IF(ISNUMBER(Stundenliste[[#This Row],[Von]]),"24:00"-(D64-E64),""))</f>
        <v>6.25E-2</v>
      </c>
      <c r="G64" s="2" t="s">
        <v>9</v>
      </c>
    </row>
    <row r="65" spans="1:7" x14ac:dyDescent="0.35">
      <c r="A65" s="2" t="str">
        <f>IF(ISNUMBER(B65),LEFT(TEXT(B65,"TTTT"),2)&amp;".","")</f>
        <v>Fr.</v>
      </c>
      <c r="B65" s="3">
        <v>46080</v>
      </c>
      <c r="C65" s="2" t="s">
        <v>59</v>
      </c>
      <c r="D65" s="4">
        <v>0.375</v>
      </c>
      <c r="E65" s="4">
        <v>0.41666666666666669</v>
      </c>
      <c r="F65" s="5">
        <f>IF(E65&gt;D65,E65-D65,IF(ISNUMBER(Stundenliste[[#This Row],[Von]]),"24:00"-(D65-E65),""))</f>
        <v>4.1666666666666685E-2</v>
      </c>
      <c r="G65" s="2" t="s">
        <v>13</v>
      </c>
    </row>
    <row r="66" spans="1:7" x14ac:dyDescent="0.35">
      <c r="A66" s="2" t="str">
        <f>IF(ISNUMBER(B66),LEFT(TEXT(B66,"TTTT"),2)&amp;".","")</f>
        <v>Fr.</v>
      </c>
      <c r="B66" s="3">
        <v>46080</v>
      </c>
      <c r="C66" s="2" t="s">
        <v>60</v>
      </c>
      <c r="D66" s="4">
        <v>0.39583333333333331</v>
      </c>
      <c r="E66" s="4">
        <v>0.41666666666666669</v>
      </c>
      <c r="F66" s="5">
        <f>IF(E66&gt;D66,E66-D66,IF(ISNUMBER(Stundenliste[[#This Row],[Von]]),"24:00"-(D66-E66),""))</f>
        <v>2.083333333333337E-2</v>
      </c>
      <c r="G66" s="2" t="s">
        <v>9</v>
      </c>
    </row>
    <row r="67" spans="1:7" x14ac:dyDescent="0.35">
      <c r="A67" s="2" t="str">
        <f>IF(ISNUMBER(B67),LEFT(TEXT(B67,"TTTT"),2)&amp;".","")</f>
        <v>Fr.</v>
      </c>
      <c r="B67" s="3">
        <v>46080</v>
      </c>
      <c r="C67" s="2" t="s">
        <v>61</v>
      </c>
      <c r="D67" s="4">
        <v>0.63541666666666663</v>
      </c>
      <c r="E67" s="4">
        <v>0.69791666666666663</v>
      </c>
      <c r="F67" s="5">
        <f>IF(E67&gt;D67,E67-D67,IF(ISNUMBER(Stundenliste[[#This Row],[Von]]),"24:00"-(D67-E67),""))</f>
        <v>6.25E-2</v>
      </c>
      <c r="G67" s="2" t="s">
        <v>10</v>
      </c>
    </row>
    <row r="68" spans="1:7" x14ac:dyDescent="0.35">
      <c r="A68" s="2" t="str">
        <f>IF(ISNUMBER(B68),LEFT(TEXT(B68,"TTTT"),2)&amp;".","")</f>
        <v>Fr.</v>
      </c>
      <c r="B68" s="3">
        <v>46080</v>
      </c>
      <c r="C68" s="2" t="s">
        <v>62</v>
      </c>
      <c r="D68" s="4">
        <v>0.97916666666666663</v>
      </c>
      <c r="E68" s="4">
        <v>4.1666666666666664E-2</v>
      </c>
      <c r="F68" s="5">
        <f>IF(E68&gt;D68,E68-D68,IF(ISNUMBER(Stundenliste[[#This Row],[Von]]),"24:00"-(D68-E68),""))</f>
        <v>6.25E-2</v>
      </c>
      <c r="G68" s="2" t="s">
        <v>10</v>
      </c>
    </row>
    <row r="69" spans="1:7" x14ac:dyDescent="0.35">
      <c r="A69" s="2" t="str">
        <f>IF(ISNUMBER(B69),LEFT(TEXT(B69,"TTTT"),2)&amp;".","")</f>
        <v>Sa.</v>
      </c>
      <c r="B69" s="3">
        <v>46081</v>
      </c>
      <c r="C69" s="2" t="s">
        <v>63</v>
      </c>
      <c r="D69" s="4">
        <v>0.41666666666666669</v>
      </c>
      <c r="E69" s="4">
        <v>0.6875</v>
      </c>
      <c r="F69" s="5">
        <f>IF(E69&gt;D69,E69-D69,IF(ISNUMBER(Stundenliste[[#This Row],[Von]]),"24:00"-(D69-E69),""))</f>
        <v>0.27083333333333331</v>
      </c>
      <c r="G69" s="2" t="s">
        <v>12</v>
      </c>
    </row>
    <row r="70" spans="1:7" x14ac:dyDescent="0.35">
      <c r="A70" s="2" t="str">
        <f>IF(ISNUMBER(B70),LEFT(TEXT(B70,"TTTT"),2)&amp;".","")</f>
        <v>So.</v>
      </c>
      <c r="B70" s="3">
        <v>46082</v>
      </c>
      <c r="C70" s="2" t="s">
        <v>71</v>
      </c>
      <c r="D70" s="4">
        <v>0.45833333333333331</v>
      </c>
      <c r="E70" s="4">
        <v>0.70833333333333337</v>
      </c>
      <c r="F70" s="5">
        <f>IF(E70&gt;D70,E70-D70,IF(ISNUMBER(Stundenliste[[#This Row],[Von]]),"24:00"-(D70-E70),""))</f>
        <v>0.25000000000000006</v>
      </c>
      <c r="G70" s="2" t="s">
        <v>11</v>
      </c>
    </row>
    <row r="71" spans="1:7" x14ac:dyDescent="0.35">
      <c r="A71" s="2" t="str">
        <f>IF(ISNUMBER(B71),LEFT(TEXT(B71,"TTTT"),2)&amp;".","")</f>
        <v>So.</v>
      </c>
      <c r="B71" s="3">
        <v>46082</v>
      </c>
      <c r="C71" s="2" t="s">
        <v>72</v>
      </c>
      <c r="D71" s="4">
        <v>0.45833333333333331</v>
      </c>
      <c r="E71" s="4">
        <v>0.70833333333333337</v>
      </c>
      <c r="F71" s="5">
        <f>IF(E71&gt;D71,E71-D71,IF(ISNUMBER(Stundenliste[[#This Row],[Von]]),"24:00"-(D71-E71),""))</f>
        <v>0.25000000000000006</v>
      </c>
      <c r="G71" s="2" t="s">
        <v>10</v>
      </c>
    </row>
    <row r="72" spans="1:7" x14ac:dyDescent="0.35">
      <c r="A72" s="2" t="str">
        <f>IF(ISNUMBER(B72),LEFT(TEXT(B72,"TTTT"),2)&amp;".","")</f>
        <v>So.</v>
      </c>
      <c r="B72" s="3">
        <v>46082</v>
      </c>
      <c r="C72" s="2" t="s">
        <v>131</v>
      </c>
      <c r="D72" s="4">
        <v>0.45833333333333331</v>
      </c>
      <c r="E72" s="4">
        <v>0.70833333333333337</v>
      </c>
      <c r="F72" s="5">
        <f>IF(E72&gt;D72,E72-D72,IF(ISNUMBER(Stundenliste[[#This Row],[Von]]),"24:00"-(D72-E72),""))</f>
        <v>0.25000000000000006</v>
      </c>
      <c r="G72" s="2" t="s">
        <v>9</v>
      </c>
    </row>
    <row r="73" spans="1:7" x14ac:dyDescent="0.35">
      <c r="A73" s="2" t="str">
        <f>IF(ISNUMBER(B73),LEFT(TEXT(B73,"TTTT"),2)&amp;".","")</f>
        <v>So.</v>
      </c>
      <c r="B73" s="3">
        <v>46082</v>
      </c>
      <c r="C73" s="2" t="s">
        <v>73</v>
      </c>
      <c r="D73" s="4">
        <v>0.29166666666666669</v>
      </c>
      <c r="E73" s="4">
        <v>0.41666666666666669</v>
      </c>
      <c r="F73" s="5">
        <f>IF(E73&gt;D73,E73-D73,IF(ISNUMBER(Stundenliste[[#This Row],[Von]]),"24:00"-(D73-E73),""))</f>
        <v>0.125</v>
      </c>
      <c r="G73" s="2" t="s">
        <v>9</v>
      </c>
    </row>
    <row r="74" spans="1:7" x14ac:dyDescent="0.35">
      <c r="A74" s="2" t="str">
        <f>IF(ISNUMBER(B74),LEFT(TEXT(B74,"TTTT"),2)&amp;".","")</f>
        <v>Mo.</v>
      </c>
      <c r="B74" s="3">
        <v>46083</v>
      </c>
      <c r="C74" s="2" t="s">
        <v>74</v>
      </c>
      <c r="D74" s="4">
        <v>0.33333333333333331</v>
      </c>
      <c r="E74" s="4">
        <v>0.375</v>
      </c>
      <c r="F74" s="5">
        <f>IF(E74&gt;D74,E74-D74,IF(ISNUMBER(Stundenliste[[#This Row],[Von]]),"24:00"-(D74-E74),""))</f>
        <v>4.1666666666666685E-2</v>
      </c>
      <c r="G74" s="2" t="s">
        <v>7</v>
      </c>
    </row>
    <row r="75" spans="1:7" x14ac:dyDescent="0.35">
      <c r="A75" s="2" t="str">
        <f>IF(ISNUMBER(B75),LEFT(TEXT(B75,"TTTT"),2)&amp;".","")</f>
        <v>Mo.</v>
      </c>
      <c r="B75" s="3">
        <v>46083</v>
      </c>
      <c r="C75" s="2" t="s">
        <v>75</v>
      </c>
      <c r="D75" s="4">
        <v>0.625</v>
      </c>
      <c r="E75" s="4">
        <v>0.70833333333333337</v>
      </c>
      <c r="F75" s="5">
        <f>IF(E75&gt;D75,E75-D75,IF(ISNUMBER(Stundenliste[[#This Row],[Von]]),"24:00"-(D75-E75),""))</f>
        <v>8.333333333333337E-2</v>
      </c>
      <c r="G75" s="2" t="s">
        <v>10</v>
      </c>
    </row>
    <row r="76" spans="1:7" x14ac:dyDescent="0.35">
      <c r="A76" s="2" t="str">
        <f>IF(ISNUMBER(B76),LEFT(TEXT(B76,"TTTT"),2)&amp;".","")</f>
        <v>Mo.</v>
      </c>
      <c r="B76" s="3">
        <v>46083</v>
      </c>
      <c r="C76" s="2" t="s">
        <v>109</v>
      </c>
      <c r="D76" s="4">
        <v>0.75</v>
      </c>
      <c r="E76" s="4">
        <v>0.79166666666666663</v>
      </c>
      <c r="F76" s="5">
        <f>IF(E76&gt;D76,E76-D76,IF(ISNUMBER(Stundenliste[[#This Row],[Von]]),"24:00"-(D76-E76),""))</f>
        <v>4.166666666666663E-2</v>
      </c>
      <c r="G76" s="2" t="s">
        <v>11</v>
      </c>
    </row>
    <row r="77" spans="1:7" x14ac:dyDescent="0.35">
      <c r="A77" s="2" t="str">
        <f>IF(ISNUMBER(B77),LEFT(TEXT(B77,"TTTT"),2)&amp;".","")</f>
        <v>Di.</v>
      </c>
      <c r="B77" s="3">
        <v>46084</v>
      </c>
      <c r="C77" s="2" t="s">
        <v>80</v>
      </c>
      <c r="D77" s="4">
        <v>0.49305555555555558</v>
      </c>
      <c r="E77" s="4">
        <v>0.53472222222222221</v>
      </c>
      <c r="F77" s="5">
        <f>IF(E77&gt;D77,E77-D77,IF(ISNUMBER(Stundenliste[[#This Row],[Von]]),"24:00"-(D77-E77),""))</f>
        <v>4.166666666666663E-2</v>
      </c>
      <c r="G77" s="2" t="s">
        <v>7</v>
      </c>
    </row>
    <row r="78" spans="1:7" x14ac:dyDescent="0.35">
      <c r="A78" s="2" t="str">
        <f>IF(ISNUMBER(B78),LEFT(TEXT(B78,"TTTT"),2)&amp;".","")</f>
        <v>Di.</v>
      </c>
      <c r="B78" s="3">
        <v>46084</v>
      </c>
      <c r="C78" s="2" t="s">
        <v>76</v>
      </c>
      <c r="D78" s="4">
        <v>0.625</v>
      </c>
      <c r="E78" s="4">
        <v>0.70833333333333337</v>
      </c>
      <c r="F78" s="5">
        <f>IF(E78&gt;D78,E78-D78,IF(ISNUMBER(Stundenliste[[#This Row],[Von]]),"24:00"-(D78-E78),""))</f>
        <v>8.333333333333337E-2</v>
      </c>
      <c r="G78" s="2" t="s">
        <v>10</v>
      </c>
    </row>
    <row r="79" spans="1:7" x14ac:dyDescent="0.35">
      <c r="A79" s="2" t="str">
        <f>IF(ISNUMBER(B79),LEFT(TEXT(B79,"TTTT"),2)&amp;".","")</f>
        <v>Di.</v>
      </c>
      <c r="B79" s="3">
        <v>46084</v>
      </c>
      <c r="C79" s="2" t="s">
        <v>115</v>
      </c>
      <c r="D79" s="4">
        <v>0.58333333333333337</v>
      </c>
      <c r="E79" s="4">
        <v>0.70833333333333337</v>
      </c>
      <c r="F79" s="5">
        <f>IF(E79&gt;D79,E79-D79,IF(ISNUMBER(Stundenliste[[#This Row],[Von]]),"24:00"-(D79-E79),""))</f>
        <v>0.125</v>
      </c>
      <c r="G79" s="2" t="s">
        <v>9</v>
      </c>
    </row>
    <row r="80" spans="1:7" x14ac:dyDescent="0.35">
      <c r="A80" s="2" t="str">
        <f>IF(ISNUMBER(B80),LEFT(TEXT(B80,"TTTT"),2)&amp;".","")</f>
        <v>Di.</v>
      </c>
      <c r="B80" s="3">
        <v>46084</v>
      </c>
      <c r="C80" s="2" t="s">
        <v>116</v>
      </c>
      <c r="D80" s="4">
        <v>0.83333333333333337</v>
      </c>
      <c r="E80" s="4">
        <v>0.91666666666666663</v>
      </c>
      <c r="F80" s="5">
        <f>IF(E80&gt;D80,E80-D80,IF(ISNUMBER(Stundenliste[[#This Row],[Von]]),"24:00"-(D80-E80),""))</f>
        <v>8.3333333333333259E-2</v>
      </c>
      <c r="G80" s="2" t="s">
        <v>11</v>
      </c>
    </row>
    <row r="81" spans="1:7" x14ac:dyDescent="0.35">
      <c r="A81" s="2" t="str">
        <f>IF(ISNUMBER(B81),LEFT(TEXT(B81,"TTTT"),2)&amp;".","")</f>
        <v>Mi.</v>
      </c>
      <c r="B81" s="3">
        <v>46085</v>
      </c>
      <c r="C81" s="2" t="s">
        <v>77</v>
      </c>
      <c r="D81" s="4">
        <v>0.625</v>
      </c>
      <c r="E81" s="4">
        <v>0.70833333333333337</v>
      </c>
      <c r="F81" s="5">
        <f>IF(E81&gt;D81,E81-D81,IF(ISNUMBER(Stundenliste[[#This Row],[Von]]),"24:00"-(D81-E81),""))</f>
        <v>8.333333333333337E-2</v>
      </c>
      <c r="G81" s="2" t="s">
        <v>10</v>
      </c>
    </row>
    <row r="82" spans="1:7" x14ac:dyDescent="0.35">
      <c r="A82" s="2" t="str">
        <f>IF(ISNUMBER(B82),LEFT(TEXT(B82,"TTTT"),2)&amp;".","")</f>
        <v>Mi.</v>
      </c>
      <c r="B82" s="3">
        <v>46085</v>
      </c>
      <c r="C82" s="2" t="s">
        <v>78</v>
      </c>
      <c r="D82" s="4">
        <v>0.4861111111111111</v>
      </c>
      <c r="E82" s="4">
        <v>0.52777777777777779</v>
      </c>
      <c r="F82" s="5">
        <f>IF(E82&gt;D82,E82-D82,IF(ISNUMBER(Stundenliste[[#This Row],[Von]]),"24:00"-(D82-E82),""))</f>
        <v>4.1666666666666685E-2</v>
      </c>
      <c r="G82" s="2" t="s">
        <v>7</v>
      </c>
    </row>
    <row r="83" spans="1:7" x14ac:dyDescent="0.35">
      <c r="A83" s="2" t="str">
        <f>IF(ISNUMBER(B83),LEFT(TEXT(B83,"TTTT"),2)&amp;".","")</f>
        <v>Mi.</v>
      </c>
      <c r="B83" s="3">
        <v>46085</v>
      </c>
      <c r="C83" s="2" t="s">
        <v>79</v>
      </c>
      <c r="D83" s="4">
        <v>0.83333333333333337</v>
      </c>
      <c r="E83" s="4">
        <v>0.91666666666666663</v>
      </c>
      <c r="F83" s="5">
        <f>IF(E83&gt;D83,E83-D83,IF(ISNUMBER(Stundenliste[[#This Row],[Von]]),"24:00"-(D83-E83),""))</f>
        <v>8.3333333333333259E-2</v>
      </c>
      <c r="G83" s="2" t="s">
        <v>11</v>
      </c>
    </row>
    <row r="84" spans="1:7" x14ac:dyDescent="0.35">
      <c r="A84" s="2" t="str">
        <f>IF(ISNUMBER(B84),LEFT(TEXT(B84,"TTTT"),2)&amp;".","")</f>
        <v>Mi.</v>
      </c>
      <c r="B84" s="3">
        <v>46085</v>
      </c>
      <c r="C84" s="2" t="s">
        <v>107</v>
      </c>
      <c r="D84" s="4">
        <v>0.91666666666666663</v>
      </c>
      <c r="E84" s="4">
        <v>0.95833333333333337</v>
      </c>
      <c r="F84" s="5">
        <f>IF(E84&gt;D84,E84-D84,IF(ISNUMBER(Stundenliste[[#This Row],[Von]]),"24:00"-(D84-E84),""))</f>
        <v>4.1666666666666741E-2</v>
      </c>
      <c r="G84" s="2" t="s">
        <v>9</v>
      </c>
    </row>
    <row r="85" spans="1:7" x14ac:dyDescent="0.35">
      <c r="A85" s="2" t="str">
        <f>IF(ISNUMBER(B85),LEFT(TEXT(B85,"TTTT"),2)&amp;".","")</f>
        <v>Do.</v>
      </c>
      <c r="B85" s="3">
        <v>46086</v>
      </c>
      <c r="C85" s="2" t="s">
        <v>81</v>
      </c>
      <c r="D85" s="4">
        <v>0.45833333333333331</v>
      </c>
      <c r="E85" s="4">
        <v>0.54166666666666663</v>
      </c>
      <c r="F85" s="5">
        <f>IF(E85&gt;D85,E85-D85,IF(ISNUMBER(Stundenliste[[#This Row],[Von]]),"24:00"-(D85-E85),""))</f>
        <v>8.3333333333333315E-2</v>
      </c>
      <c r="G85" s="2" t="s">
        <v>7</v>
      </c>
    </row>
    <row r="86" spans="1:7" x14ac:dyDescent="0.35">
      <c r="A86" s="2" t="str">
        <f>IF(ISNUMBER(B86),LEFT(TEXT(B86,"TTTT"),2)&amp;".","")</f>
        <v>Do.</v>
      </c>
      <c r="B86" s="3">
        <v>46086</v>
      </c>
      <c r="C86" s="2" t="s">
        <v>82</v>
      </c>
      <c r="D86" s="4">
        <v>0.75</v>
      </c>
      <c r="E86" s="4">
        <v>0.875</v>
      </c>
      <c r="F86" s="5">
        <f>IF(E86&gt;D86,E86-D86,IF(ISNUMBER(Stundenliste[[#This Row],[Von]]),"24:00"-(D86-E86),""))</f>
        <v>0.125</v>
      </c>
      <c r="G86" s="2" t="s">
        <v>11</v>
      </c>
    </row>
    <row r="87" spans="1:7" x14ac:dyDescent="0.35">
      <c r="A87" s="2" t="str">
        <f>IF(ISNUMBER(B87),LEFT(TEXT(B87,"TTTT"),2)&amp;".","")</f>
        <v>Do.</v>
      </c>
      <c r="B87" s="3">
        <v>46086</v>
      </c>
      <c r="C87" s="2" t="s">
        <v>107</v>
      </c>
      <c r="D87" s="4">
        <v>0.83333333333333337</v>
      </c>
      <c r="E87" s="4">
        <v>0.91666666666666663</v>
      </c>
      <c r="F87" s="5">
        <f>IF(E87&gt;D87,E87-D87,IF(ISNUMBER(Stundenliste[[#This Row],[Von]]),"24:00"-(D87-E87),""))</f>
        <v>8.3333333333333259E-2</v>
      </c>
      <c r="G87" s="2" t="s">
        <v>9</v>
      </c>
    </row>
    <row r="88" spans="1:7" x14ac:dyDescent="0.35">
      <c r="A88" s="2" t="str">
        <f>IF(ISNUMBER(B88),LEFT(TEXT(B88,"TTTT"),2)&amp;".","")</f>
        <v>Do.</v>
      </c>
      <c r="B88" s="3">
        <v>46086</v>
      </c>
      <c r="C88" s="2" t="s">
        <v>117</v>
      </c>
      <c r="D88" s="4">
        <v>0.625</v>
      </c>
      <c r="E88" s="4">
        <v>0.70833333333333337</v>
      </c>
      <c r="F88" s="5">
        <f>IF(E88&gt;D88,E88-D88,IF(ISNUMBER(Stundenliste[[#This Row],[Von]]),"24:00"-(D88-E88),""))</f>
        <v>8.333333333333337E-2</v>
      </c>
      <c r="G88" s="2" t="s">
        <v>9</v>
      </c>
    </row>
    <row r="89" spans="1:7" x14ac:dyDescent="0.35">
      <c r="A89" s="2" t="str">
        <f>IF(ISNUMBER(B89),LEFT(TEXT(B89,"TTTT"),2)&amp;".","")</f>
        <v>Do.</v>
      </c>
      <c r="B89" s="3">
        <v>46086</v>
      </c>
      <c r="C89" s="2" t="s">
        <v>118</v>
      </c>
      <c r="D89" s="4">
        <v>0.875</v>
      </c>
      <c r="E89" s="4">
        <v>0.95833333333333337</v>
      </c>
      <c r="F89" s="5">
        <f>IF(E89&gt;D89,E89-D89,IF(ISNUMBER(Stundenliste[[#This Row],[Von]]),"24:00"-(D89-E89),""))</f>
        <v>8.333333333333337E-2</v>
      </c>
      <c r="G89" s="2" t="s">
        <v>10</v>
      </c>
    </row>
    <row r="90" spans="1:7" x14ac:dyDescent="0.35">
      <c r="A90" s="2" t="str">
        <f>IF(ISNUMBER(B90),LEFT(TEXT(B90,"TTTT"),2)&amp;".","")</f>
        <v>Fr.</v>
      </c>
      <c r="B90" s="3">
        <v>46087</v>
      </c>
      <c r="C90" s="2" t="s">
        <v>83</v>
      </c>
      <c r="D90" s="4">
        <v>0.75</v>
      </c>
      <c r="E90" s="4">
        <v>0.875</v>
      </c>
      <c r="F90" s="5">
        <f>IF(E90&gt;D90,E90-D90,IF(ISNUMBER(Stundenliste[[#This Row],[Von]]),"24:00"-(D90-E90),""))</f>
        <v>0.125</v>
      </c>
      <c r="G90" s="2" t="s">
        <v>11</v>
      </c>
    </row>
    <row r="91" spans="1:7" x14ac:dyDescent="0.35">
      <c r="A91" s="2" t="str">
        <f>IF(ISNUMBER(B91),LEFT(TEXT(B91,"TTTT"),2)&amp;".","")</f>
        <v>Fr.</v>
      </c>
      <c r="B91" s="3">
        <v>46087</v>
      </c>
      <c r="C91" s="2" t="s">
        <v>119</v>
      </c>
      <c r="D91" s="4">
        <v>0.58333333333333337</v>
      </c>
      <c r="E91" s="4">
        <v>0.66666666666666663</v>
      </c>
      <c r="F91" s="5">
        <f>IF(E91&gt;D91,E91-D91,IF(ISNUMBER(Stundenliste[[#This Row],[Von]]),"24:00"-(D91-E91),""))</f>
        <v>8.3333333333333259E-2</v>
      </c>
      <c r="G91" s="2" t="s">
        <v>10</v>
      </c>
    </row>
    <row r="92" spans="1:7" x14ac:dyDescent="0.35">
      <c r="A92" s="2" t="str">
        <f>IF(ISNUMBER(B92),LEFT(TEXT(B92,"TTTT"),2)&amp;".","")</f>
        <v>Fr.</v>
      </c>
      <c r="B92" s="3">
        <v>46087</v>
      </c>
      <c r="C92" s="2" t="s">
        <v>120</v>
      </c>
      <c r="D92" s="4">
        <v>0.54166666666666663</v>
      </c>
      <c r="E92" s="4">
        <v>0.66666666666666663</v>
      </c>
      <c r="F92" s="5">
        <f>IF(E92&gt;D92,E92-D92,IF(ISNUMBER(Stundenliste[[#This Row],[Von]]),"24:00"-(D92-E92),""))</f>
        <v>0.125</v>
      </c>
      <c r="G92" s="2" t="s">
        <v>9</v>
      </c>
    </row>
    <row r="93" spans="1:7" x14ac:dyDescent="0.35">
      <c r="A93" s="2" t="str">
        <f>IF(ISNUMBER(B93),LEFT(TEXT(B93,"TTTT"),2)&amp;".","")</f>
        <v>Fr.</v>
      </c>
      <c r="B93" s="3">
        <v>46087</v>
      </c>
      <c r="C93" s="2" t="s">
        <v>121</v>
      </c>
      <c r="D93" s="4">
        <v>0.875</v>
      </c>
      <c r="E93" s="4">
        <v>0.95833333333333337</v>
      </c>
      <c r="F93" s="5">
        <f>IF(E93&gt;D93,E93-D93,IF(ISNUMBER(Stundenliste[[#This Row],[Von]]),"24:00"-(D93-E93),""))</f>
        <v>8.333333333333337E-2</v>
      </c>
      <c r="G93" s="2" t="s">
        <v>9</v>
      </c>
    </row>
    <row r="94" spans="1:7" x14ac:dyDescent="0.35">
      <c r="A94" s="2" t="str">
        <f>IF(ISNUMBER(B94),LEFT(TEXT(B94,"TTTT"),2)&amp;".","")</f>
        <v>Sa.</v>
      </c>
      <c r="B94" s="3">
        <v>46088</v>
      </c>
      <c r="C94" s="2" t="s">
        <v>84</v>
      </c>
      <c r="D94" s="4">
        <v>0.625</v>
      </c>
      <c r="E94" s="4">
        <v>0.70833333333333337</v>
      </c>
      <c r="F94" s="5">
        <f>IF(E94&gt;D94,E94-D94,IF(ISNUMBER(Stundenliste[[#This Row],[Von]]),"24:00"-(D94-E94),""))</f>
        <v>8.333333333333337E-2</v>
      </c>
      <c r="G94" s="2" t="s">
        <v>11</v>
      </c>
    </row>
    <row r="95" spans="1:7" x14ac:dyDescent="0.35">
      <c r="A95" s="2" t="str">
        <f>IF(ISNUMBER(B95),LEFT(TEXT(B95,"TTTT"),2)&amp;".","")</f>
        <v>Sa.</v>
      </c>
      <c r="B95" s="3">
        <v>46088</v>
      </c>
      <c r="C95" s="2" t="s">
        <v>122</v>
      </c>
      <c r="D95" s="4">
        <v>0.33333333333333331</v>
      </c>
      <c r="E95" s="4">
        <v>0.54166666666666663</v>
      </c>
      <c r="F95" s="5">
        <f>IF(E95&gt;D95,E95-D95,IF(ISNUMBER(Stundenliste[[#This Row],[Von]]),"24:00"-(D95-E95),""))</f>
        <v>0.20833333333333331</v>
      </c>
      <c r="G95" s="2" t="s">
        <v>7</v>
      </c>
    </row>
    <row r="96" spans="1:7" x14ac:dyDescent="0.35">
      <c r="A96" s="2" t="str">
        <f>IF(ISNUMBER(B96),LEFT(TEXT(B96,"TTTT"),2)&amp;".","")</f>
        <v>Sa.</v>
      </c>
      <c r="B96" s="3">
        <v>46088</v>
      </c>
      <c r="C96" s="2" t="s">
        <v>123</v>
      </c>
      <c r="D96" s="4">
        <v>0.25</v>
      </c>
      <c r="E96" s="4">
        <v>0.29166666666666669</v>
      </c>
      <c r="F96" s="5">
        <f>IF(E96&gt;D96,E96-D96,IF(ISNUMBER(Stundenliste[[#This Row],[Von]]),"24:00"-(D96-E96),""))</f>
        <v>4.1666666666666685E-2</v>
      </c>
      <c r="G96" s="2" t="s">
        <v>9</v>
      </c>
    </row>
    <row r="97" spans="1:7" x14ac:dyDescent="0.35">
      <c r="A97" s="2" t="str">
        <f>IF(ISNUMBER(B97),LEFT(TEXT(B97,"TTTT"),2)&amp;".","")</f>
        <v>So.</v>
      </c>
      <c r="B97" s="3">
        <v>46089</v>
      </c>
      <c r="C97" s="2" t="s">
        <v>85</v>
      </c>
      <c r="D97" s="4">
        <v>0.70833333333333337</v>
      </c>
      <c r="E97" s="4">
        <v>0.83333333333333337</v>
      </c>
      <c r="F97" s="5">
        <f>IF(E97&gt;D97,E97-D97,IF(ISNUMBER(Stundenliste[[#This Row],[Von]]),"24:00"-(D97-E97),""))</f>
        <v>0.125</v>
      </c>
      <c r="G97" s="2" t="s">
        <v>11</v>
      </c>
    </row>
    <row r="98" spans="1:7" x14ac:dyDescent="0.35">
      <c r="A98" s="2" t="str">
        <f>IF(ISNUMBER(B98),LEFT(TEXT(B98,"TTTT"),2)&amp;".","")</f>
        <v>So.</v>
      </c>
      <c r="B98" s="3">
        <v>46089</v>
      </c>
      <c r="C98" s="2" t="s">
        <v>124</v>
      </c>
      <c r="D98" s="4">
        <v>0.375</v>
      </c>
      <c r="E98" s="4">
        <v>0.45833333333333331</v>
      </c>
      <c r="F98" s="5">
        <f>IF(E98&gt;D98,E98-D98,IF(ISNUMBER(Stundenliste[[#This Row],[Von]]),"24:00"-(D98-E98),""))</f>
        <v>8.3333333333333315E-2</v>
      </c>
      <c r="G98" s="2" t="s">
        <v>10</v>
      </c>
    </row>
    <row r="99" spans="1:7" x14ac:dyDescent="0.35">
      <c r="A99" s="2" t="str">
        <f>IF(ISNUMBER(B99),LEFT(TEXT(B99,"TTTT"),2)&amp;".","")</f>
        <v>So.</v>
      </c>
      <c r="B99" s="3">
        <v>46089</v>
      </c>
      <c r="C99" s="2" t="s">
        <v>107</v>
      </c>
      <c r="D99" s="4">
        <v>0.5</v>
      </c>
      <c r="E99" s="4">
        <v>0.625</v>
      </c>
      <c r="F99" s="5">
        <f>IF(E99&gt;D99,E99-D99,IF(ISNUMBER(Stundenliste[[#This Row],[Von]]),"24:00"-(D99-E99),""))</f>
        <v>0.125</v>
      </c>
      <c r="G99" s="2" t="s">
        <v>9</v>
      </c>
    </row>
    <row r="100" spans="1:7" x14ac:dyDescent="0.35">
      <c r="A100" s="2" t="str">
        <f>IF(ISNUMBER(B100),LEFT(TEXT(B100,"TTTT"),2)&amp;".","")</f>
        <v>Mo.</v>
      </c>
      <c r="B100" s="3">
        <v>46090</v>
      </c>
      <c r="C100" s="2" t="s">
        <v>87</v>
      </c>
      <c r="D100" s="4">
        <v>0.33333333333333331</v>
      </c>
      <c r="E100" s="4">
        <v>0.375</v>
      </c>
      <c r="F100" s="5">
        <f>IF(E100&gt;D100,E100-D100,IF(ISNUMBER(Stundenliste[[#This Row],[Von]]),"24:00"-(D100-E100),""))</f>
        <v>4.1666666666666685E-2</v>
      </c>
      <c r="G100" s="2" t="s">
        <v>13</v>
      </c>
    </row>
    <row r="101" spans="1:7" x14ac:dyDescent="0.35">
      <c r="A101" s="2" t="str">
        <f>IF(ISNUMBER(B101),LEFT(TEXT(B101,"TTTT"),2)&amp;".","")</f>
        <v>Mo.</v>
      </c>
      <c r="B101" s="3">
        <v>46090</v>
      </c>
      <c r="C101" s="2" t="s">
        <v>88</v>
      </c>
      <c r="D101" s="4">
        <v>0.375</v>
      </c>
      <c r="E101" s="4">
        <v>0.3888888888888889</v>
      </c>
      <c r="F101" s="5">
        <f>IF(E101&gt;D101,E101-D101,IF(ISNUMBER(Stundenliste[[#This Row],[Von]]),"24:00"-(D101-E101),""))</f>
        <v>1.3888888888888895E-2</v>
      </c>
      <c r="G101" s="2" t="s">
        <v>11</v>
      </c>
    </row>
    <row r="102" spans="1:7" x14ac:dyDescent="0.35">
      <c r="A102" s="2" t="str">
        <f>IF(ISNUMBER(B102),LEFT(TEXT(B102,"TTTT"),2)&amp;".","")</f>
        <v>Mo.</v>
      </c>
      <c r="B102" s="3">
        <v>46090</v>
      </c>
      <c r="C102" s="2" t="s">
        <v>89</v>
      </c>
      <c r="D102" s="4">
        <v>0.77083333333333337</v>
      </c>
      <c r="E102" s="4">
        <v>0.89583333333333337</v>
      </c>
      <c r="F102" s="5">
        <f>IF(E102&gt;D102,E102-D102,IF(ISNUMBER(Stundenliste[[#This Row],[Von]]),"24:00"-(D102-E102),""))</f>
        <v>0.125</v>
      </c>
      <c r="G102" s="2" t="s">
        <v>11</v>
      </c>
    </row>
    <row r="103" spans="1:7" x14ac:dyDescent="0.35">
      <c r="A103" s="2" t="str">
        <f>IF(ISNUMBER(B103),LEFT(TEXT(B103,"TTTT"),2)&amp;".","")</f>
        <v>Mo.</v>
      </c>
      <c r="B103" s="3">
        <v>46090</v>
      </c>
      <c r="C103" s="2" t="s">
        <v>107</v>
      </c>
      <c r="D103" s="4">
        <v>0.91666666666666663</v>
      </c>
      <c r="E103" s="4">
        <v>0.95833333333333337</v>
      </c>
      <c r="F103" s="5">
        <f>IF(E103&gt;D103,E103-D103,IF(ISNUMBER(Stundenliste[[#This Row],[Von]]),"24:00"-(D103-E103),""))</f>
        <v>4.1666666666666741E-2</v>
      </c>
      <c r="G103" s="2" t="s">
        <v>9</v>
      </c>
    </row>
    <row r="104" spans="1:7" x14ac:dyDescent="0.35">
      <c r="A104" s="2" t="str">
        <f>IF(ISNUMBER(B104),LEFT(TEXT(B104,"TTTT"),2)&amp;".","")</f>
        <v>Di.</v>
      </c>
      <c r="B104" s="3">
        <v>46091</v>
      </c>
      <c r="C104" s="2" t="s">
        <v>92</v>
      </c>
      <c r="D104" s="4">
        <v>0.6875</v>
      </c>
      <c r="E104" s="4">
        <v>0.77083333333333337</v>
      </c>
      <c r="F104" s="5">
        <f>IF(E104&gt;D104,E104-D104,IF(ISNUMBER(Stundenliste[[#This Row],[Von]]),"24:00"-(D104-E104),""))</f>
        <v>8.333333333333337E-2</v>
      </c>
      <c r="G104" s="2" t="s">
        <v>10</v>
      </c>
    </row>
    <row r="105" spans="1:7" x14ac:dyDescent="0.35">
      <c r="A105" s="2" t="str">
        <f>IF(ISNUMBER(B105),LEFT(TEXT(B105,"TTTT"),2)&amp;".","")</f>
        <v>Di.</v>
      </c>
      <c r="B105" s="3">
        <v>46091</v>
      </c>
      <c r="C105" s="2" t="s">
        <v>94</v>
      </c>
      <c r="D105" s="4">
        <v>0.625</v>
      </c>
      <c r="E105" s="4">
        <v>0.75</v>
      </c>
      <c r="F105" s="5">
        <f>IF(E105&gt;D105,E105-D105,IF(ISNUMBER(Stundenliste[[#This Row],[Von]]),"24:00"-(D105-E105),""))</f>
        <v>0.125</v>
      </c>
      <c r="G105" s="2" t="s">
        <v>11</v>
      </c>
    </row>
    <row r="106" spans="1:7" x14ac:dyDescent="0.35">
      <c r="A106" s="2" t="str">
        <f>IF(ISNUMBER(B106),LEFT(TEXT(B106,"TTTT"),2)&amp;".","")</f>
        <v>Di.</v>
      </c>
      <c r="B106" s="3">
        <v>46091</v>
      </c>
      <c r="C106" s="2" t="s">
        <v>130</v>
      </c>
      <c r="D106" s="4">
        <v>0.66666666666666663</v>
      </c>
      <c r="E106" s="4">
        <v>0.83333333333333337</v>
      </c>
      <c r="F106" s="5">
        <f>IF(E106&gt;D106,E106-D106,IF(ISNUMBER(Stundenliste[[#This Row],[Von]]),"24:00"-(D106-E106),""))</f>
        <v>0.16666666666666674</v>
      </c>
      <c r="G106" s="2" t="s">
        <v>9</v>
      </c>
    </row>
    <row r="107" spans="1:7" x14ac:dyDescent="0.35">
      <c r="A107" s="2" t="str">
        <f>IF(ISNUMBER(B107),LEFT(TEXT(B107,"TTTT"),2)&amp;".","")</f>
        <v>Mi.</v>
      </c>
      <c r="B107" s="3">
        <v>46092</v>
      </c>
      <c r="C107" s="2" t="s">
        <v>92</v>
      </c>
      <c r="D107" s="4">
        <v>0.71875</v>
      </c>
      <c r="E107" s="4">
        <v>0.76041666666666663</v>
      </c>
      <c r="F107" s="5">
        <f>IF(E107&gt;D107,E107-D107,IF(ISNUMBER(Stundenliste[[#This Row],[Von]]),"24:00"-(D107-E107),""))</f>
        <v>4.166666666666663E-2</v>
      </c>
      <c r="G107" s="2" t="s">
        <v>10</v>
      </c>
    </row>
    <row r="108" spans="1:7" x14ac:dyDescent="0.35">
      <c r="A108" s="2" t="str">
        <f>IF(ISNUMBER(B108),LEFT(TEXT(B108,"TTTT"),2)&amp;".","")</f>
        <v>Mi.</v>
      </c>
      <c r="B108" s="3">
        <v>46092</v>
      </c>
      <c r="C108" s="2" t="s">
        <v>95</v>
      </c>
      <c r="D108" s="4">
        <v>0.75</v>
      </c>
      <c r="E108" s="4">
        <v>0.83333333333333337</v>
      </c>
      <c r="F108" s="5">
        <f>IF(E108&gt;D108,E108-D108,IF(ISNUMBER(Stundenliste[[#This Row],[Von]]),"24:00"-(D108-E108),""))</f>
        <v>8.333333333333337E-2</v>
      </c>
      <c r="G108" s="2" t="s">
        <v>11</v>
      </c>
    </row>
    <row r="109" spans="1:7" x14ac:dyDescent="0.35">
      <c r="A109" s="2" t="str">
        <f>IF(ISNUMBER(B109),LEFT(TEXT(B109,"TTTT"),2)&amp;".","")</f>
        <v>Do.</v>
      </c>
      <c r="B109" s="3">
        <v>46093</v>
      </c>
      <c r="C109" s="2" t="s">
        <v>96</v>
      </c>
      <c r="D109" s="4">
        <v>0.70833333333333337</v>
      </c>
      <c r="E109" s="4">
        <v>0.83333333333333337</v>
      </c>
      <c r="F109" s="5">
        <f>IF(E109&gt;D109,E109-D109,IF(ISNUMBER(Stundenliste[[#This Row],[Von]]),"24:00"-(D109-E109),""))</f>
        <v>0.125</v>
      </c>
      <c r="G109" s="2" t="s">
        <v>11</v>
      </c>
    </row>
    <row r="110" spans="1:7" x14ac:dyDescent="0.35">
      <c r="A110" s="2" t="str">
        <f>IF(ISNUMBER(B110),LEFT(TEXT(B110,"TTTT"),2)&amp;".","")</f>
        <v>Do.</v>
      </c>
      <c r="B110" s="3">
        <v>46093</v>
      </c>
      <c r="C110" s="2" t="s">
        <v>117</v>
      </c>
      <c r="D110" s="4">
        <v>0.875</v>
      </c>
      <c r="E110" s="4">
        <v>0.95833333333333337</v>
      </c>
      <c r="F110" s="5">
        <f>IF(E110&gt;D110,E110-D110,IF(ISNUMBER(Stundenliste[[#This Row],[Von]]),"24:00"-(D110-E110),""))</f>
        <v>8.333333333333337E-2</v>
      </c>
      <c r="G110" s="2" t="s">
        <v>9</v>
      </c>
    </row>
    <row r="111" spans="1:7" x14ac:dyDescent="0.35">
      <c r="A111" s="2" t="str">
        <f>IF(ISNUMBER(B111),LEFT(TEXT(B111,"TTTT"),2)&amp;".","")</f>
        <v>Fr.</v>
      </c>
      <c r="B111" s="3">
        <v>46094</v>
      </c>
      <c r="C111" s="2" t="s">
        <v>91</v>
      </c>
      <c r="D111" s="4">
        <v>0.91666666666666663</v>
      </c>
      <c r="E111" s="4">
        <v>0.125</v>
      </c>
      <c r="F111" s="5">
        <f>IF(E111&gt;D111,E111-D111,IF(ISNUMBER(Stundenliste[[#This Row],[Von]]),"24:00"-(D111-E111),""))</f>
        <v>0.20833333333333337</v>
      </c>
      <c r="G111" s="2" t="s">
        <v>7</v>
      </c>
    </row>
    <row r="112" spans="1:7" x14ac:dyDescent="0.35">
      <c r="A112" s="2" t="str">
        <f>IF(ISNUMBER(B112),LEFT(TEXT(B112,"TTTT"),2)&amp;".","")</f>
        <v>Fr.</v>
      </c>
      <c r="B112" s="3">
        <v>46094</v>
      </c>
      <c r="C112" s="2" t="s">
        <v>125</v>
      </c>
      <c r="D112" s="4">
        <v>0.70833333333333337</v>
      </c>
      <c r="E112" s="4">
        <v>0.79166666666666663</v>
      </c>
      <c r="F112" s="5">
        <f>IF(E112&gt;D112,E112-D112,IF(ISNUMBER(Stundenliste[[#This Row],[Von]]),"24:00"-(D112-E112),""))</f>
        <v>8.3333333333333259E-2</v>
      </c>
      <c r="G112" s="2" t="s">
        <v>9</v>
      </c>
    </row>
    <row r="113" spans="1:7" x14ac:dyDescent="0.35">
      <c r="A113" s="2" t="str">
        <f>IF(ISNUMBER(B113),LEFT(TEXT(B113,"TTTT"),2)&amp;".","")</f>
        <v>Sa.</v>
      </c>
      <c r="B113" s="3">
        <v>46095</v>
      </c>
      <c r="C113" s="2" t="s">
        <v>90</v>
      </c>
      <c r="D113" s="4">
        <v>0.79166666666666663</v>
      </c>
      <c r="E113" s="4">
        <v>0.95833333333333337</v>
      </c>
      <c r="F113" s="5">
        <f>IF(E113&gt;D113,E113-D113,IF(ISNUMBER(Stundenliste[[#This Row],[Von]]),"24:00"-(D113-E113),""))</f>
        <v>0.16666666666666674</v>
      </c>
      <c r="G113" s="2" t="s">
        <v>7</v>
      </c>
    </row>
    <row r="114" spans="1:7" x14ac:dyDescent="0.35">
      <c r="A114" s="2" t="str">
        <f>IF(ISNUMBER(B114),LEFT(TEXT(B114,"TTTT"),2)&amp;".","")</f>
        <v>Sa.</v>
      </c>
      <c r="B114" s="3">
        <v>46095</v>
      </c>
      <c r="C114" s="2" t="s">
        <v>92</v>
      </c>
      <c r="D114" s="4">
        <v>0.41666666666666669</v>
      </c>
      <c r="E114" s="4">
        <v>0.54166666666666663</v>
      </c>
      <c r="F114" s="5">
        <f>IF(E114&gt;D114,E114-D114,IF(ISNUMBER(Stundenliste[[#This Row],[Von]]),"24:00"-(D114-E114),""))</f>
        <v>0.12499999999999994</v>
      </c>
      <c r="G114" s="2" t="s">
        <v>10</v>
      </c>
    </row>
    <row r="115" spans="1:7" x14ac:dyDescent="0.35">
      <c r="A115" s="2" t="str">
        <f>IF(ISNUMBER(B115),LEFT(TEXT(B115,"TTTT"),2)&amp;".","")</f>
        <v>Sa.</v>
      </c>
      <c r="B115" s="3">
        <v>46095</v>
      </c>
      <c r="C115" s="2" t="s">
        <v>117</v>
      </c>
      <c r="D115" s="4">
        <v>0.29166666666666669</v>
      </c>
      <c r="E115" s="4">
        <v>0.375</v>
      </c>
      <c r="F115" s="5">
        <f>IF(E115&gt;D115,E115-D115,IF(ISNUMBER(Stundenliste[[#This Row],[Von]]),"24:00"-(D115-E115),""))</f>
        <v>8.3333333333333315E-2</v>
      </c>
      <c r="G115" s="2" t="s">
        <v>9</v>
      </c>
    </row>
    <row r="116" spans="1:7" x14ac:dyDescent="0.35">
      <c r="A116" s="2" t="str">
        <f>IF(ISNUMBER(B116),LEFT(TEXT(B116,"TTTT"),2)&amp;".","")</f>
        <v>So.</v>
      </c>
      <c r="B116" s="3">
        <v>46096</v>
      </c>
      <c r="C116" s="2" t="s">
        <v>93</v>
      </c>
      <c r="D116" s="4">
        <v>0.58333333333333337</v>
      </c>
      <c r="E116" s="4">
        <v>0.72916666666666663</v>
      </c>
      <c r="F116" s="5">
        <f>IF(E116&gt;D116,E116-D116,IF(ISNUMBER(Stundenliste[[#This Row],[Von]]),"24:00"-(D116-E116),""))</f>
        <v>0.14583333333333326</v>
      </c>
      <c r="G116" s="2" t="s">
        <v>7</v>
      </c>
    </row>
    <row r="117" spans="1:7" x14ac:dyDescent="0.35">
      <c r="A117" s="2" t="str">
        <f>IF(ISNUMBER(B117),LEFT(TEXT(B117,"TTTT"),2)&amp;".","")</f>
        <v>So.</v>
      </c>
      <c r="B117" s="3">
        <v>46096</v>
      </c>
      <c r="C117" s="2" t="s">
        <v>128</v>
      </c>
      <c r="D117" s="4">
        <v>0.41666666666666669</v>
      </c>
      <c r="E117" s="4">
        <v>0.45833333333333331</v>
      </c>
      <c r="F117" s="5">
        <f>IF(E117&gt;D117,E117-D117,IF(ISNUMBER(Stundenliste[[#This Row],[Von]]),"24:00"-(D117-E117),""))</f>
        <v>4.166666666666663E-2</v>
      </c>
      <c r="G117" s="2" t="s">
        <v>9</v>
      </c>
    </row>
    <row r="118" spans="1:7" x14ac:dyDescent="0.35">
      <c r="A118" s="2" t="str">
        <f>IF(ISNUMBER(B118),LEFT(TEXT(B118,"TTTT"),2)&amp;".","")</f>
        <v>Mo.</v>
      </c>
      <c r="B118" s="3">
        <v>46097</v>
      </c>
      <c r="C118" s="2" t="s">
        <v>100</v>
      </c>
      <c r="D118" s="4">
        <v>0.33333333333333331</v>
      </c>
      <c r="E118" s="4">
        <v>0.41666666666666669</v>
      </c>
      <c r="F118" s="5">
        <f>IF(E118&gt;D118,E118-D118,IF(ISNUMBER(Stundenliste[[#This Row],[Von]]),"24:00"-(D118-E118),""))</f>
        <v>8.333333333333337E-2</v>
      </c>
      <c r="G118" s="2" t="s">
        <v>11</v>
      </c>
    </row>
    <row r="119" spans="1:7" x14ac:dyDescent="0.35">
      <c r="A119" s="2" t="str">
        <f>IF(ISNUMBER(B119),LEFT(TEXT(B119,"TTTT"),2)&amp;".","")</f>
        <v>Mo.</v>
      </c>
      <c r="B119" s="3">
        <v>46097</v>
      </c>
      <c r="C119" s="2" t="s">
        <v>99</v>
      </c>
      <c r="D119" s="4">
        <v>0.375</v>
      </c>
      <c r="E119" s="4">
        <v>0.41666666666666669</v>
      </c>
      <c r="F119" s="5">
        <f>IF(E119&gt;D119,E119-D119,IF(ISNUMBER(Stundenliste[[#This Row],[Von]]),"24:00"-(D119-E119),""))</f>
        <v>4.1666666666666685E-2</v>
      </c>
      <c r="G119" s="2" t="s">
        <v>10</v>
      </c>
    </row>
    <row r="120" spans="1:7" x14ac:dyDescent="0.35">
      <c r="A120" s="2" t="str">
        <f>IF(ISNUMBER(B120),LEFT(TEXT(B120,"TTTT"),2)&amp;".","")</f>
        <v>Di.</v>
      </c>
      <c r="B120" s="3">
        <v>46098</v>
      </c>
      <c r="C120" s="2" t="s">
        <v>96</v>
      </c>
      <c r="D120" s="4">
        <v>0.58333333333333337</v>
      </c>
      <c r="E120" s="4">
        <v>0.75</v>
      </c>
      <c r="F120" s="5">
        <f>IF(E120&gt;D120,E120-D120,IF(ISNUMBER(Stundenliste[[#This Row],[Von]]),"24:00"-(D120-E120),""))</f>
        <v>0.16666666666666663</v>
      </c>
      <c r="G120" s="2" t="s">
        <v>10</v>
      </c>
    </row>
    <row r="121" spans="1:7" x14ac:dyDescent="0.35">
      <c r="A121" s="2" t="str">
        <f>IF(ISNUMBER(B121),LEFT(TEXT(B121,"TTTT"),2)&amp;".","")</f>
        <v>Di.</v>
      </c>
      <c r="B121" s="3">
        <v>46098</v>
      </c>
      <c r="C121" s="2" t="s">
        <v>96</v>
      </c>
      <c r="D121" s="4">
        <v>0.66666666666666663</v>
      </c>
      <c r="E121" s="4">
        <v>0.83333333333333337</v>
      </c>
      <c r="F121" s="5">
        <f>IF(E121&gt;D121,E121-D121,IF(ISNUMBER(Stundenliste[[#This Row],[Von]]),"24:00"-(D121-E121),""))</f>
        <v>0.16666666666666674</v>
      </c>
      <c r="G121" s="2" t="s">
        <v>11</v>
      </c>
    </row>
    <row r="122" spans="1:7" x14ac:dyDescent="0.35">
      <c r="A122" s="2" t="str">
        <f>IF(ISNUMBER(B122),LEFT(TEXT(B122,"TTTT"),2)&amp;".","")</f>
        <v>Di.</v>
      </c>
      <c r="B122" s="3">
        <v>46098</v>
      </c>
      <c r="C122" s="2" t="s">
        <v>129</v>
      </c>
      <c r="D122" s="4">
        <v>0.75</v>
      </c>
      <c r="E122" s="4">
        <v>0.875</v>
      </c>
      <c r="F122" s="5">
        <f>IF(E122&gt;D122,E122-D122,IF(ISNUMBER(Stundenliste[[#This Row],[Von]]),"24:00"-(D122-E122),""))</f>
        <v>0.125</v>
      </c>
      <c r="G122" s="2" t="s">
        <v>9</v>
      </c>
    </row>
    <row r="123" spans="1:7" x14ac:dyDescent="0.35">
      <c r="A123" s="2" t="str">
        <f>IF(ISNUMBER(B123),LEFT(TEXT(B123,"TTTT"),2)&amp;".","")</f>
        <v>Mi.</v>
      </c>
      <c r="B123" s="3">
        <v>46099</v>
      </c>
      <c r="C123" s="2" t="s">
        <v>101</v>
      </c>
      <c r="D123" s="4">
        <v>0.41666666666666669</v>
      </c>
      <c r="E123" s="4">
        <v>0.58333333333333337</v>
      </c>
      <c r="F123" s="5">
        <f>IF(E123&gt;D123,E123-D123,IF(ISNUMBER(Stundenliste[[#This Row],[Von]]),"24:00"-(D123-E123),""))</f>
        <v>0.16666666666666669</v>
      </c>
      <c r="G123" s="2" t="s">
        <v>7</v>
      </c>
    </row>
    <row r="124" spans="1:7" x14ac:dyDescent="0.35">
      <c r="A124" s="2" t="str">
        <f>IF(ISNUMBER(B124),LEFT(TEXT(B124,"TTTT"),2)&amp;".","")</f>
        <v>Mi.</v>
      </c>
      <c r="B124" s="3">
        <v>46099</v>
      </c>
      <c r="C124" s="2" t="s">
        <v>101</v>
      </c>
      <c r="D124" s="4">
        <v>0.58333333333333337</v>
      </c>
      <c r="E124" s="4">
        <v>0.6875</v>
      </c>
      <c r="F124" s="5">
        <f>IF(E124&gt;D124,E124-D124,IF(ISNUMBER(Stundenliste[[#This Row],[Von]]),"24:00"-(D124-E124),""))</f>
        <v>0.10416666666666663</v>
      </c>
      <c r="G124" s="2" t="s">
        <v>11</v>
      </c>
    </row>
    <row r="125" spans="1:7" x14ac:dyDescent="0.35">
      <c r="A125" s="2" t="str">
        <f>IF(ISNUMBER(B125),LEFT(TEXT(B125,"TTTT"),2)&amp;".","")</f>
        <v>Do.</v>
      </c>
      <c r="B125" s="3">
        <v>46100</v>
      </c>
      <c r="C125" s="2" t="s">
        <v>102</v>
      </c>
      <c r="D125" s="4">
        <v>0.75</v>
      </c>
      <c r="E125" s="4">
        <v>0.79166666666666663</v>
      </c>
      <c r="F125" s="5">
        <f>IF(E125&gt;D125,E125-D125,IF(ISNUMBER(Stundenliste[[#This Row],[Von]]),"24:00"-(D125-E125),""))</f>
        <v>4.166666666666663E-2</v>
      </c>
      <c r="G125" s="2" t="s">
        <v>11</v>
      </c>
    </row>
    <row r="126" spans="1:7" x14ac:dyDescent="0.35">
      <c r="A126" s="2" t="str">
        <f>IF(ISNUMBER(B126),LEFT(TEXT(B126,"TTTT"),2)&amp;".","")</f>
        <v>Do.</v>
      </c>
      <c r="B126" s="3">
        <v>46100</v>
      </c>
      <c r="C126" s="2" t="s">
        <v>105</v>
      </c>
      <c r="D126" s="4">
        <v>0.79166666666666663</v>
      </c>
      <c r="E126" s="4">
        <v>0.875</v>
      </c>
      <c r="F126" s="5">
        <f>IF(E126&gt;D126,E126-D126,IF(ISNUMBER(Stundenliste[[#This Row],[Von]]),"24:00"-(D126-E126),""))</f>
        <v>8.333333333333337E-2</v>
      </c>
      <c r="G126" s="2" t="s">
        <v>10</v>
      </c>
    </row>
    <row r="127" spans="1:7" x14ac:dyDescent="0.35">
      <c r="A127" s="2" t="str">
        <f>IF(ISNUMBER(B127),LEFT(TEXT(B127,"TTTT"),2)&amp;".","")</f>
        <v>Do.</v>
      </c>
      <c r="B127" s="3">
        <v>46100</v>
      </c>
      <c r="C127" s="2" t="s">
        <v>107</v>
      </c>
      <c r="D127" s="4">
        <v>0.54166666666666663</v>
      </c>
      <c r="E127" s="4">
        <v>0.625</v>
      </c>
      <c r="F127" s="5">
        <f>IF(E127&gt;D127,E127-D127,IF(ISNUMBER(Stundenliste[[#This Row],[Von]]),"24:00"-(D127-E127),""))</f>
        <v>8.333333333333337E-2</v>
      </c>
      <c r="G127" s="2" t="s">
        <v>9</v>
      </c>
    </row>
    <row r="128" spans="1:7" x14ac:dyDescent="0.35">
      <c r="A128" s="2" t="str">
        <f>IF(ISNUMBER(B128),LEFT(TEXT(B128,"TTTT"),2)&amp;".","")</f>
        <v>Do.</v>
      </c>
      <c r="B128" s="3">
        <v>46100</v>
      </c>
      <c r="C128" s="2" t="s">
        <v>126</v>
      </c>
      <c r="D128" s="4">
        <v>0.83333333333333337</v>
      </c>
      <c r="E128" s="4">
        <v>0.95833333333333337</v>
      </c>
      <c r="F128" s="5">
        <f>IF(E128&gt;D128,E128-D128,IF(ISNUMBER(Stundenliste[[#This Row],[Von]]),"24:00"-(D128-E128),""))</f>
        <v>0.125</v>
      </c>
      <c r="G128" s="2" t="s">
        <v>9</v>
      </c>
    </row>
    <row r="129" spans="1:7" x14ac:dyDescent="0.35">
      <c r="A129" s="2" t="str">
        <f>IF(ISNUMBER(B129),LEFT(TEXT(B129,"TTTT"),2)&amp;".","")</f>
        <v>Fr.</v>
      </c>
      <c r="B129" s="3">
        <v>46101</v>
      </c>
      <c r="C129" s="2" t="s">
        <v>102</v>
      </c>
      <c r="D129" s="4">
        <v>0.75</v>
      </c>
      <c r="E129" s="4">
        <v>0.79166666666666663</v>
      </c>
      <c r="F129" s="5">
        <f>IF(E129&gt;D129,E129-D129,IF(ISNUMBER(Stundenliste[[#This Row],[Von]]),"24:00"-(D129-E129),""))</f>
        <v>4.166666666666663E-2</v>
      </c>
      <c r="G129" s="2" t="s">
        <v>11</v>
      </c>
    </row>
    <row r="130" spans="1:7" x14ac:dyDescent="0.35">
      <c r="A130" s="2" t="str">
        <f>IF(ISNUMBER(B130),LEFT(TEXT(B130,"TTTT"),2)&amp;".","")</f>
        <v>Fr.</v>
      </c>
      <c r="B130" s="3">
        <v>46101</v>
      </c>
      <c r="C130" s="2" t="s">
        <v>104</v>
      </c>
      <c r="D130" s="4">
        <v>0.5</v>
      </c>
      <c r="E130" s="4">
        <v>0.70833333333333337</v>
      </c>
      <c r="F130" s="5">
        <f>IF(E130&gt;D130,E130-D130,IF(ISNUMBER(Stundenliste[[#This Row],[Von]]),"24:00"-(D130-E130),""))</f>
        <v>0.20833333333333337</v>
      </c>
      <c r="G130" s="2" t="s">
        <v>10</v>
      </c>
    </row>
    <row r="131" spans="1:7" x14ac:dyDescent="0.35">
      <c r="A131" s="2" t="str">
        <f>IF(ISNUMBER(B131),LEFT(TEXT(B131,"TTTT"),2)&amp;".","")</f>
        <v>Fr.</v>
      </c>
      <c r="B131" s="3">
        <v>46101</v>
      </c>
      <c r="C131" s="2" t="s">
        <v>127</v>
      </c>
      <c r="D131" s="4">
        <v>0.375</v>
      </c>
      <c r="E131" s="4">
        <v>0.45833333333333331</v>
      </c>
      <c r="F131" s="5">
        <f>IF(E131&gt;D131,E131-D131,IF(ISNUMBER(Stundenliste[[#This Row],[Von]]),"24:00"-(D131-E131),""))</f>
        <v>8.3333333333333315E-2</v>
      </c>
      <c r="G131" s="2" t="s">
        <v>9</v>
      </c>
    </row>
    <row r="132" spans="1:7" x14ac:dyDescent="0.35">
      <c r="A132" s="2" t="str">
        <f>IF(ISNUMBER(B132),LEFT(TEXT(B132,"TTTT"),2)&amp;".","")</f>
        <v>Fr.</v>
      </c>
      <c r="B132" s="3">
        <v>46101</v>
      </c>
      <c r="C132" s="2" t="s">
        <v>117</v>
      </c>
      <c r="D132" s="4">
        <v>0.66666666666666663</v>
      </c>
      <c r="E132" s="4">
        <v>0.75</v>
      </c>
      <c r="F132" s="5">
        <f>IF(E132&gt;D132,E132-D132,IF(ISNUMBER(Stundenliste[[#This Row],[Von]]),"24:00"-(D132-E132),""))</f>
        <v>8.333333333333337E-2</v>
      </c>
      <c r="G132" s="2" t="s">
        <v>9</v>
      </c>
    </row>
    <row r="133" spans="1:7" x14ac:dyDescent="0.35">
      <c r="A133" s="2" t="str">
        <f>IF(ISNUMBER(B133),LEFT(TEXT(B133,"TTTT"),2)&amp;".","")</f>
        <v>Sa.</v>
      </c>
      <c r="B133" s="3">
        <v>46102</v>
      </c>
      <c r="C133" s="2" t="s">
        <v>103</v>
      </c>
      <c r="D133" s="4">
        <v>0.4375</v>
      </c>
      <c r="E133" s="4">
        <v>0.72916666666666663</v>
      </c>
      <c r="F133" s="5">
        <f>IF(E133&gt;D133,E133-D133,IF(ISNUMBER(Stundenliste[[#This Row],[Von]]),"24:00"-(D133-E133),""))</f>
        <v>0.29166666666666663</v>
      </c>
      <c r="G133" s="2" t="s">
        <v>7</v>
      </c>
    </row>
    <row r="134" spans="1:7" x14ac:dyDescent="0.35">
      <c r="A134" s="2" t="str">
        <f>IF(ISNUMBER(B134),LEFT(TEXT(B134,"TTTT"),2)&amp;".","")</f>
        <v>So.</v>
      </c>
      <c r="B134" s="3">
        <v>46103</v>
      </c>
      <c r="C134" s="2" t="s">
        <v>108</v>
      </c>
      <c r="D134" s="4">
        <v>0.83333333333333337</v>
      </c>
      <c r="E134" s="4">
        <v>0.91666666666666663</v>
      </c>
      <c r="F134" s="5">
        <f>IF(E134&gt;D134,E134-D134,IF(ISNUMBER(Stundenliste[[#This Row],[Von]]),"24:00"-(D134-E134),""))</f>
        <v>8.3333333333333259E-2</v>
      </c>
      <c r="G134" s="2" t="s">
        <v>11</v>
      </c>
    </row>
    <row r="135" spans="1:7" x14ac:dyDescent="0.35">
      <c r="A135" s="2" t="str">
        <f>IF(ISNUMBER(B135),LEFT(TEXT(B135,"TTTT"),2)&amp;".","")</f>
        <v>So.</v>
      </c>
      <c r="B135" s="3">
        <v>46103</v>
      </c>
      <c r="C135" s="2" t="s">
        <v>133</v>
      </c>
      <c r="D135" s="4">
        <v>0.5</v>
      </c>
      <c r="E135" s="4">
        <v>0.70833333333333337</v>
      </c>
      <c r="F135" s="5">
        <f>IF(E135&gt;D135,E135-D135,IF(ISNUMBER(Stundenliste[[#This Row],[Von]]),"24:00"-(D135-E135),""))</f>
        <v>0.20833333333333337</v>
      </c>
      <c r="G135" s="2" t="s">
        <v>9</v>
      </c>
    </row>
    <row r="136" spans="1:7" x14ac:dyDescent="0.35">
      <c r="A136" s="2" t="str">
        <f>IF(ISNUMBER(B136),LEFT(TEXT(B136,"TTTT"),2)&amp;".","")</f>
        <v>So.</v>
      </c>
      <c r="B136" s="3">
        <v>46103</v>
      </c>
      <c r="C136" s="2" t="s">
        <v>117</v>
      </c>
      <c r="D136" s="4">
        <v>0.375</v>
      </c>
      <c r="E136" s="4">
        <v>0.45833333333333331</v>
      </c>
      <c r="F136" s="5">
        <f>IF(E136&gt;D136,E136-D136,IF(ISNUMBER(Stundenliste[[#This Row],[Von]]),"24:00"-(D136-E136),""))</f>
        <v>8.3333333333333315E-2</v>
      </c>
      <c r="G136" s="2" t="s">
        <v>10</v>
      </c>
    </row>
    <row r="137" spans="1:7" x14ac:dyDescent="0.35">
      <c r="A137" s="2" t="str">
        <f>IF(ISNUMBER(B137),LEFT(TEXT(B137,"TTTT"),2)&amp;".","")</f>
        <v>So.</v>
      </c>
      <c r="B137" s="3">
        <v>46103</v>
      </c>
      <c r="C137" s="2" t="s">
        <v>117</v>
      </c>
      <c r="D137" s="4">
        <v>0.70833333333333337</v>
      </c>
      <c r="E137" s="4">
        <v>0.79166666666666663</v>
      </c>
      <c r="F137" s="5">
        <f>IF(E137&gt;D137,E137-D137,IF(ISNUMBER(Stundenliste[[#This Row],[Von]]),"24:00"-(D137-E137),""))</f>
        <v>8.3333333333333259E-2</v>
      </c>
      <c r="G137" s="2" t="s">
        <v>10</v>
      </c>
    </row>
    <row r="138" spans="1:7" x14ac:dyDescent="0.35">
      <c r="A138" s="2" t="str">
        <f>IF(ISNUMBER(B138),LEFT(TEXT(B138,"TTTT"),2)&amp;".","")</f>
        <v>Mo.</v>
      </c>
      <c r="B138" s="3">
        <v>46104</v>
      </c>
      <c r="C138" s="2" t="s">
        <v>117</v>
      </c>
      <c r="D138" s="4">
        <v>0.75</v>
      </c>
      <c r="E138" s="4">
        <v>0.79166666666666663</v>
      </c>
      <c r="F138" s="5">
        <f>IF(E138&gt;D138,E138-D138,IF(ISNUMBER(Stundenliste[[#This Row],[Von]]),"24:00"-(D138-E138),""))</f>
        <v>4.166666666666663E-2</v>
      </c>
      <c r="G138" s="2" t="s">
        <v>10</v>
      </c>
    </row>
    <row r="139" spans="1:7" x14ac:dyDescent="0.35">
      <c r="A139" s="2" t="str">
        <f>IF(ISNUMBER(B139),LEFT(TEXT(B139,"TTTT"),2)&amp;".","")</f>
        <v>Mo.</v>
      </c>
      <c r="B139" s="3">
        <v>46104</v>
      </c>
      <c r="C139" s="2" t="s">
        <v>134</v>
      </c>
      <c r="D139" s="4">
        <v>0.41666666666666669</v>
      </c>
      <c r="E139" s="4">
        <v>0.5</v>
      </c>
      <c r="F139" s="5">
        <f>IF(E139&gt;D139,E139-D139,IF(ISNUMBER(Stundenliste[[#This Row],[Von]]),"24:00"-(D139-E139),""))</f>
        <v>8.3333333333333315E-2</v>
      </c>
      <c r="G139" s="2" t="s">
        <v>7</v>
      </c>
    </row>
    <row r="140" spans="1:7" x14ac:dyDescent="0.35">
      <c r="A140" s="2" t="str">
        <f>IF(ISNUMBER(B140),LEFT(TEXT(B140,"TTTT"),2)&amp;".","")</f>
        <v>Di.</v>
      </c>
      <c r="B140" s="3">
        <v>46105</v>
      </c>
      <c r="C140" s="2" t="s">
        <v>117</v>
      </c>
      <c r="D140" s="4">
        <v>0.54166666666666663</v>
      </c>
      <c r="E140" s="4">
        <v>0.60416666666666663</v>
      </c>
      <c r="F140" s="5">
        <f>IF(E140&gt;D140,E140-D140,IF(ISNUMBER(Stundenliste[[#This Row],[Von]]),"24:00"-(D140-E140),""))</f>
        <v>6.25E-2</v>
      </c>
      <c r="G140" s="2" t="s">
        <v>11</v>
      </c>
    </row>
    <row r="141" spans="1:7" x14ac:dyDescent="0.35">
      <c r="A141" s="2" t="str">
        <f>IF(ISNUMBER(B141),LEFT(TEXT(B141,"TTTT"),2)&amp;".","")</f>
        <v>Di.</v>
      </c>
      <c r="B141" s="3">
        <v>46105</v>
      </c>
      <c r="C141" s="2" t="s">
        <v>135</v>
      </c>
      <c r="D141" s="4">
        <v>0.91666666666666663</v>
      </c>
      <c r="E141" s="4">
        <v>4.1666666666666664E-2</v>
      </c>
      <c r="F141" s="5">
        <f>IF(E141&gt;D141,E141-D141,IF(ISNUMBER(Stundenliste[[#This Row],[Von]]),"24:00"-(D141-E141),""))</f>
        <v>0.125</v>
      </c>
      <c r="G141" s="2" t="s">
        <v>9</v>
      </c>
    </row>
    <row r="142" spans="1:7" x14ac:dyDescent="0.35">
      <c r="A142" s="2" t="str">
        <f>IF(ISNUMBER(B142),LEFT(TEXT(B142,"TTTT"),2)&amp;".","")</f>
        <v>Di.</v>
      </c>
      <c r="B142" s="3">
        <v>46105</v>
      </c>
      <c r="C142" s="2" t="s">
        <v>136</v>
      </c>
      <c r="D142" s="4">
        <v>0.625</v>
      </c>
      <c r="E142" s="4">
        <v>0.77083333333333337</v>
      </c>
      <c r="F142" s="5">
        <f>IF(E142&gt;D142,E142-D142,IF(ISNUMBER(Stundenliste[[#This Row],[Von]]),"24:00"-(D142-E142),""))</f>
        <v>0.14583333333333337</v>
      </c>
      <c r="G142" s="2" t="s">
        <v>10</v>
      </c>
    </row>
    <row r="143" spans="1:7" x14ac:dyDescent="0.35">
      <c r="A143" s="2" t="str">
        <f>IF(ISNUMBER(B143),LEFT(TEXT(B143,"TTTT"),2)&amp;".","")</f>
        <v>Di.</v>
      </c>
      <c r="B143" s="3">
        <v>46105</v>
      </c>
      <c r="C143" s="2" t="s">
        <v>117</v>
      </c>
      <c r="D143" s="4">
        <v>0.70833333333333337</v>
      </c>
      <c r="E143" s="4">
        <v>0.8125</v>
      </c>
      <c r="F143" s="5">
        <f>IF(E143&gt;D143,E143-D143,IF(ISNUMBER(Stundenliste[[#This Row],[Von]]),"24:00"-(D143-E143),""))</f>
        <v>0.10416666666666663</v>
      </c>
      <c r="G143" s="2" t="s">
        <v>11</v>
      </c>
    </row>
    <row r="144" spans="1:7" x14ac:dyDescent="0.35">
      <c r="A144" s="2" t="str">
        <f>IF(ISNUMBER(B144),LEFT(TEXT(B144,"TTTT"),2)&amp;".","")</f>
        <v>Di.</v>
      </c>
      <c r="B144" s="3">
        <v>46105</v>
      </c>
      <c r="C144" s="2" t="s">
        <v>117</v>
      </c>
      <c r="D144" s="4">
        <v>0.91666666666666663</v>
      </c>
      <c r="E144" s="4">
        <v>0.97916666666666663</v>
      </c>
      <c r="F144" s="5">
        <f>IF(E144&gt;D144,E144-D144,IF(ISNUMBER(Stundenliste[[#This Row],[Von]]),"24:00"-(D144-E144),""))</f>
        <v>6.25E-2</v>
      </c>
      <c r="G144" s="2" t="s">
        <v>10</v>
      </c>
    </row>
    <row r="145" spans="1:7" x14ac:dyDescent="0.35">
      <c r="A145" s="2" t="str">
        <f>IF(ISNUMBER(B145),LEFT(TEXT(B145,"TTTT"),2)&amp;".","")</f>
        <v>Mi.</v>
      </c>
      <c r="B145" s="3">
        <v>46106</v>
      </c>
      <c r="C145" s="2" t="s">
        <v>138</v>
      </c>
      <c r="D145" s="4">
        <v>0.58333333333333337</v>
      </c>
      <c r="E145" s="4">
        <v>0.6875</v>
      </c>
      <c r="F145" s="5">
        <f>IF(E145&gt;D145,E145-D145,IF(ISNUMBER(Stundenliste[[#This Row],[Von]]),"24:00"-(D145-E145),""))</f>
        <v>0.10416666666666663</v>
      </c>
      <c r="G145" s="2" t="s">
        <v>11</v>
      </c>
    </row>
    <row r="146" spans="1:7" x14ac:dyDescent="0.35">
      <c r="A146" s="22" t="str">
        <f>IF(ISNUMBER(B146),LEFT(TEXT(B146,"TTTT"),2)&amp;".","")</f>
        <v>Mi.</v>
      </c>
      <c r="B146" s="3">
        <v>46106</v>
      </c>
      <c r="C146" s="2" t="s">
        <v>135</v>
      </c>
      <c r="D146" s="4">
        <v>0.41666666666666669</v>
      </c>
      <c r="E146" s="4">
        <v>0.54166666666666663</v>
      </c>
      <c r="F146" s="5">
        <f>IF(E146&gt;D146,E146-D146,IF(ISNUMBER(Stundenliste[[#This Row],[Von]]),"24:00"-(D146-E146),""))</f>
        <v>0.12499999999999994</v>
      </c>
      <c r="G146" s="2" t="s">
        <v>9</v>
      </c>
    </row>
    <row r="147" spans="1:7" x14ac:dyDescent="0.35">
      <c r="A147" s="22" t="str">
        <f>IF(ISNUMBER(B147),LEFT(TEXT(B147,"TTTT"),2)&amp;".","")</f>
        <v>Mi.</v>
      </c>
      <c r="B147" s="3">
        <v>46106</v>
      </c>
      <c r="C147" s="2" t="s">
        <v>128</v>
      </c>
      <c r="D147" s="4">
        <v>0.625</v>
      </c>
      <c r="E147" s="4">
        <v>0.70833333333333337</v>
      </c>
      <c r="F147" s="5">
        <f>IF(E147&gt;D147,E147-D147,IF(ISNUMBER(Stundenliste[[#This Row],[Von]]),"24:00"-(D147-E147),""))</f>
        <v>8.333333333333337E-2</v>
      </c>
      <c r="G147" s="2" t="s">
        <v>9</v>
      </c>
    </row>
    <row r="148" spans="1:7" x14ac:dyDescent="0.35">
      <c r="A148" s="22" t="str">
        <f>IF(ISNUMBER(B148),LEFT(TEXT(B148,"TTTT"),2)&amp;".","")</f>
        <v>Mi.</v>
      </c>
      <c r="B148" s="3">
        <v>46106</v>
      </c>
      <c r="C148" s="2" t="s">
        <v>117</v>
      </c>
      <c r="D148" s="4">
        <v>0.29166666666666669</v>
      </c>
      <c r="E148" s="4">
        <v>0.375</v>
      </c>
      <c r="F148" s="5">
        <f>IF(E148&gt;D148,E148-D148,IF(ISNUMBER(Stundenliste[[#This Row],[Von]]),"24:00"-(D148-E148),""))</f>
        <v>8.3333333333333315E-2</v>
      </c>
      <c r="G148" s="2" t="s">
        <v>10</v>
      </c>
    </row>
    <row r="149" spans="1:7" x14ac:dyDescent="0.35">
      <c r="A149" s="22" t="str">
        <f>IF(ISNUMBER(B149),LEFT(TEXT(B149,"TTTT"),2)&amp;".","")</f>
        <v>Mi.</v>
      </c>
      <c r="B149" s="3">
        <v>46106</v>
      </c>
      <c r="C149" s="2" t="s">
        <v>135</v>
      </c>
      <c r="D149" s="4">
        <v>0.5</v>
      </c>
      <c r="E149" s="4">
        <v>0.60416666666666663</v>
      </c>
      <c r="F149" s="5">
        <f>IF(E149&gt;D149,E149-D149,IF(ISNUMBER(Stundenliste[[#This Row],[Von]]),"24:00"-(D149-E149),""))</f>
        <v>0.10416666666666663</v>
      </c>
      <c r="G149" s="2" t="s">
        <v>10</v>
      </c>
    </row>
    <row r="150" spans="1:7" x14ac:dyDescent="0.35">
      <c r="A150" s="22" t="str">
        <f>IF(ISNUMBER(B150),LEFT(TEXT(B150,"TTTT"),2)&amp;".","")</f>
        <v>Mi.</v>
      </c>
      <c r="B150" s="3">
        <v>46106</v>
      </c>
      <c r="C150" s="2" t="s">
        <v>137</v>
      </c>
      <c r="D150" s="4">
        <v>0.70833333333333337</v>
      </c>
      <c r="E150" s="4">
        <v>0.8125</v>
      </c>
      <c r="F150" s="5">
        <f>IF(E150&gt;D150,E150-D150,IF(ISNUMBER(Stundenliste[[#This Row],[Von]]),"24:00"-(D150-E150),""))</f>
        <v>0.10416666666666663</v>
      </c>
      <c r="G150" s="2" t="s">
        <v>10</v>
      </c>
    </row>
    <row r="151" spans="1:7" x14ac:dyDescent="0.35">
      <c r="A151" s="22" t="str">
        <f>IF(ISNUMBER(B151),LEFT(TEXT(B151,"TTTT"),2)&amp;".","")</f>
        <v>Mi.</v>
      </c>
      <c r="B151" s="3">
        <v>46106</v>
      </c>
      <c r="C151" s="2" t="s">
        <v>139</v>
      </c>
      <c r="D151" s="4">
        <v>0.83333333333333337</v>
      </c>
      <c r="E151" s="4">
        <v>0.89583333333333337</v>
      </c>
      <c r="F151" s="5">
        <f>IF(E151&gt;D151,E151-D151,IF(ISNUMBER(Stundenliste[[#This Row],[Von]]),"24:00"-(D151-E151),""))</f>
        <v>6.25E-2</v>
      </c>
      <c r="G151" s="2" t="s">
        <v>11</v>
      </c>
    </row>
    <row r="152" spans="1:7" x14ac:dyDescent="0.35">
      <c r="A152" s="22" t="str">
        <f>IF(ISNUMBER(B152),LEFT(TEXT(B152,"TTTT"),2)&amp;".","")</f>
        <v/>
      </c>
      <c r="B152" s="3"/>
      <c r="C152" s="22"/>
      <c r="D152" s="2"/>
      <c r="E152" s="2"/>
      <c r="F152" s="5" t="str">
        <f>IF(E152&gt;D152,E152-D152,IF(ISNUMBER(Stundenliste[[#This Row],[Von]]),"24:00"-(D152-E152),""))</f>
        <v/>
      </c>
      <c r="G152" s="2"/>
    </row>
    <row r="153" spans="1:7" x14ac:dyDescent="0.35">
      <c r="A153" s="22" t="str">
        <f>IF(ISNUMBER(B153),LEFT(TEXT(B153,"TTTT"),2)&amp;".","")</f>
        <v/>
      </c>
      <c r="B153" s="3"/>
      <c r="C153" s="22"/>
      <c r="D153" s="2"/>
      <c r="E153" s="2"/>
      <c r="F153" s="5" t="str">
        <f>IF(E153&gt;D153,E153-D153,IF(ISNUMBER(Stundenliste[[#This Row],[Von]]),"24:00"-(D153-E153),""))</f>
        <v/>
      </c>
      <c r="G153" s="2"/>
    </row>
    <row r="154" spans="1:7" x14ac:dyDescent="0.35">
      <c r="A154" s="22" t="str">
        <f>IF(ISNUMBER(B154),LEFT(TEXT(B154,"TTTT"),2)&amp;".","")</f>
        <v/>
      </c>
      <c r="B154" s="3"/>
      <c r="C154" s="22"/>
      <c r="D154" s="2"/>
      <c r="E154" s="2"/>
      <c r="F154" s="5" t="str">
        <f>IF(E154&gt;D154,E154-D154,IF(ISNUMBER(Stundenliste[[#This Row],[Von]]),"24:00"-(D154-E154),""))</f>
        <v/>
      </c>
      <c r="G154" s="2"/>
    </row>
  </sheetData>
  <pageMargins left="0.7" right="0.7" top="0.78740157499999996" bottom="0.78740157499999996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9f85066-e658-4e34-914c-f198c24275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6A9684FA57F34CA0CFF8DECC7C89F4" ma:contentTypeVersion="4" ma:contentTypeDescription="Ein neues Dokument erstellen." ma:contentTypeScope="" ma:versionID="b2ec2b65d3d5b16c44b9b6a36409c0c6">
  <xsd:schema xmlns:xsd="http://www.w3.org/2001/XMLSchema" xmlns:xs="http://www.w3.org/2001/XMLSchema" xmlns:p="http://schemas.microsoft.com/office/2006/metadata/properties" xmlns:ns2="d9f85066-e658-4e34-914c-f198c2427564" targetNamespace="http://schemas.microsoft.com/office/2006/metadata/properties" ma:root="true" ma:fieldsID="5b8d1bb51b8c1f0753974a44edfe3f74" ns2:_="">
    <xsd:import namespace="d9f85066-e658-4e34-914c-f198c24275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5066-e658-4e34-914c-f198c24275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879EED-63D4-4BD6-ABDC-8DEB19CAAE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E083A2-B59E-4178-BBDB-6F72551558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33483e06-99ee-4919-8fc9-f487e9b68a5e"/>
    <ds:schemaRef ds:uri="http://schemas.microsoft.com/office/infopath/2007/PartnerControls"/>
    <ds:schemaRef ds:uri="http://schemas.openxmlformats.org/package/2006/metadata/core-properties"/>
    <ds:schemaRef ds:uri="becce21f-4543-4ee3-84d8-746b4cf7c34b"/>
    <ds:schemaRef ds:uri="d9f85066-e658-4e34-914c-f198c2427564"/>
  </ds:schemaRefs>
</ds:datastoreItem>
</file>

<file path=customXml/itemProps3.xml><?xml version="1.0" encoding="utf-8"?>
<ds:datastoreItem xmlns:ds="http://schemas.openxmlformats.org/officeDocument/2006/customXml" ds:itemID="{834A42BE-934C-42D8-9F79-C190EDC62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85066-e658-4e34-914c-f198c242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Valentin Schneider</cp:lastModifiedBy>
  <cp:revision/>
  <cp:lastPrinted>2026-01-09T07:41:25Z</cp:lastPrinted>
  <dcterms:created xsi:type="dcterms:W3CDTF">2022-09-30T10:08:24Z</dcterms:created>
  <dcterms:modified xsi:type="dcterms:W3CDTF">2026-03-25T14:35:03Z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0x0101001F6A9684FA57F34CA0CFF8DECC7C89F4</vt:lpwstr>
  </property>
  <property fmtid="{D5CDD505-2E9C-101B-9397-08002B2CF9AE}" pid="3" name="MediaServiceImageTags">
    <vt:lpwstr/>
  </property>
</Properties>
</file>