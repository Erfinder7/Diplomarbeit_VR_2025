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VR1\Downloads\"/>
    </mc:Choice>
  </mc:AlternateContent>
  <xr:revisionPtr revIDLastSave="0" documentId="13_ncr:1_{1238EE62-5E91-4ABE-AC0C-F819074139E5}" xr6:coauthVersionLast="47" xr6:coauthVersionMax="47" xr10:uidLastSave="{00000000-0000-0000-0000-000000000000}"/>
  <bookViews>
    <workbookView xWindow="-120" yWindow="-120" windowWidth="38640" windowHeight="20625" xr2:uid="{904973F5-B02B-4666-A03D-BB66738E721E}"/>
  </bookViews>
  <sheets>
    <sheet name="Tabelle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1" l="1"/>
  <c r="F46" i="1"/>
  <c r="M7" i="1" s="1"/>
  <c r="A45" i="1"/>
  <c r="F45" i="1"/>
  <c r="A44" i="1"/>
  <c r="F44" i="1"/>
  <c r="A43" i="1"/>
  <c r="F43" i="1"/>
  <c r="A42" i="1"/>
  <c r="F42" i="1"/>
  <c r="A39" i="1"/>
  <c r="P6" i="1"/>
  <c r="Q6" i="1" s="1"/>
  <c r="F36" i="1"/>
  <c r="F35" i="1"/>
  <c r="A35" i="1"/>
  <c r="F31" i="1"/>
  <c r="F32" i="1"/>
  <c r="F33" i="1"/>
  <c r="F34" i="1"/>
  <c r="A10" i="1"/>
  <c r="F10" i="1"/>
  <c r="J9" i="1"/>
  <c r="A34" i="1"/>
  <c r="A21" i="1"/>
  <c r="A36" i="1"/>
  <c r="A37" i="1"/>
  <c r="A38" i="1"/>
  <c r="A40" i="1"/>
  <c r="A41" i="1"/>
  <c r="F21" i="1"/>
  <c r="F37" i="1"/>
  <c r="F38" i="1"/>
  <c r="F39" i="1"/>
  <c r="F40" i="1"/>
  <c r="F41" i="1"/>
  <c r="F2" i="1"/>
  <c r="F3" i="1"/>
  <c r="F4" i="1"/>
  <c r="F5" i="1"/>
  <c r="F6" i="1"/>
  <c r="F8" i="1"/>
  <c r="F9" i="1"/>
  <c r="F11" i="1"/>
  <c r="F12" i="1"/>
  <c r="F15" i="1"/>
  <c r="J3" i="1" s="1"/>
  <c r="F26" i="1"/>
  <c r="F27" i="1"/>
  <c r="J5" i="1" s="1"/>
  <c r="F16" i="1"/>
  <c r="J8" i="1" s="1"/>
  <c r="F20" i="1"/>
  <c r="F22" i="1"/>
  <c r="F19" i="1"/>
  <c r="F18" i="1"/>
  <c r="F29" i="1"/>
  <c r="F25" i="1"/>
  <c r="F23" i="1"/>
  <c r="F30" i="1"/>
  <c r="F28" i="1"/>
  <c r="F14" i="1"/>
  <c r="F17" i="1"/>
  <c r="F13" i="1"/>
  <c r="F7" i="1"/>
  <c r="F24" i="1"/>
  <c r="A24" i="1"/>
  <c r="J4" i="1" l="1"/>
  <c r="J7" i="1"/>
  <c r="J11" i="1"/>
  <c r="A7" i="1" l="1"/>
  <c r="A14" i="1"/>
  <c r="A28" i="1"/>
  <c r="A13" i="1"/>
  <c r="A30" i="1"/>
  <c r="A17" i="1"/>
  <c r="A33" i="1"/>
  <c r="A23" i="1"/>
  <c r="A25" i="1"/>
  <c r="A29" i="1"/>
  <c r="A31" i="1"/>
  <c r="A32" i="1"/>
  <c r="A20" i="1"/>
  <c r="A22" i="1"/>
  <c r="A19" i="1"/>
  <c r="A18" i="1"/>
  <c r="A16" i="1"/>
  <c r="A27" i="1"/>
  <c r="A8" i="1"/>
  <c r="A15" i="1"/>
  <c r="A26" i="1"/>
  <c r="A12" i="1"/>
  <c r="A9" i="1"/>
  <c r="A2" i="1"/>
  <c r="A6" i="1"/>
  <c r="M4" i="1" l="1"/>
  <c r="A3" i="1"/>
  <c r="A4" i="1"/>
  <c r="A5" i="1"/>
  <c r="A11" i="1"/>
  <c r="N4" i="1" l="1"/>
  <c r="O4" i="1" s="1"/>
  <c r="P4" i="1" s="1"/>
  <c r="Q4" i="1" s="1"/>
  <c r="M3" i="1"/>
  <c r="M5" i="1"/>
  <c r="M8" i="1"/>
  <c r="N5" i="1" l="1"/>
  <c r="O5" i="1" s="1"/>
  <c r="P5" i="1" s="1"/>
  <c r="Q5" i="1" s="1"/>
  <c r="N3" i="1"/>
  <c r="O3" i="1" s="1"/>
  <c r="P3" i="1" s="1"/>
  <c r="Q3" i="1" s="1"/>
</calcChain>
</file>

<file path=xl/sharedStrings.xml><?xml version="1.0" encoding="utf-8"?>
<sst xmlns="http://schemas.openxmlformats.org/spreadsheetml/2006/main" count="116" uniqueCount="58">
  <si>
    <t>Tag</t>
  </si>
  <si>
    <t>Datum</t>
  </si>
  <si>
    <t>Tätigkeit/Info</t>
  </si>
  <si>
    <t>Von</t>
  </si>
  <si>
    <t>Bis</t>
  </si>
  <si>
    <t>Stunden</t>
  </si>
  <si>
    <t>Wer</t>
  </si>
  <si>
    <t>Gemeinsam</t>
  </si>
  <si>
    <t>ProHTL + Übung</t>
  </si>
  <si>
    <t>Valentin</t>
  </si>
  <si>
    <t>Linus</t>
  </si>
  <si>
    <t>Arthur</t>
  </si>
  <si>
    <t>Valentin+Linus</t>
  </si>
  <si>
    <t>Arthur+Linus</t>
  </si>
  <si>
    <t>Valentin+Arthur</t>
  </si>
  <si>
    <t>Name</t>
  </si>
  <si>
    <t>Zeit</t>
  </si>
  <si>
    <t>ABA Portal + VR-Frag</t>
  </si>
  <si>
    <t>KÜ - Vorbereitung für Diplomarbeit</t>
  </si>
  <si>
    <t>KÜ - Beginn der Diplomarbeit mit Unreal Engine</t>
  </si>
  <si>
    <t>KÜ - Weiter gemacht mit Unreal Engine</t>
  </si>
  <si>
    <t>Wechsel zu Unity</t>
  </si>
  <si>
    <t>Github: Stundenliste hinzugefügt (branches)</t>
  </si>
  <si>
    <t>Github (gitignore erstellt) Unity-Projekt</t>
  </si>
  <si>
    <t>Unity Multiplayer funktionen getestet (Scene)</t>
  </si>
  <si>
    <t>Multiplayer auf 2 Brillen  + Button</t>
  </si>
  <si>
    <t>Unity Canvas (Button Szenenwechsel)</t>
  </si>
  <si>
    <t>Standalone System</t>
  </si>
  <si>
    <t>ToT</t>
  </si>
  <si>
    <t>ToT-Plakat Gestaltung</t>
  </si>
  <si>
    <t>ToT-Vorbereitung</t>
  </si>
  <si>
    <t>Werkstatt Filmdreh für INNO</t>
  </si>
  <si>
    <t>Anmeldung Jugend Innovative</t>
  </si>
  <si>
    <t>VR-Brille und PC einrichten</t>
  </si>
  <si>
    <t>Planung Nachtragung Unity Programmieren</t>
  </si>
  <si>
    <t>Amazon-Bestellung</t>
  </si>
  <si>
    <t>Bestellung-Meta</t>
  </si>
  <si>
    <t>Vorbereitung Wechsel zu Unity</t>
  </si>
  <si>
    <t>Meta Quest 3 (APK), Zuhause</t>
  </si>
  <si>
    <t>Multiplayer auf 2 Brillen  + Pico</t>
  </si>
  <si>
    <t>Ausprobieren der Haptik-Weste</t>
  </si>
  <si>
    <t>Minuten</t>
  </si>
  <si>
    <t>Stunden2</t>
  </si>
  <si>
    <t>Prozent</t>
  </si>
  <si>
    <t>Github in Word beschrieben</t>
  </si>
  <si>
    <t>Allgemeinen Funktionen von Github in Word</t>
  </si>
  <si>
    <t>Miteinander Word geschrieben</t>
  </si>
  <si>
    <t>Informatik Stundenliste verbessert</t>
  </si>
  <si>
    <t>Alles</t>
  </si>
  <si>
    <t>Spalte1</t>
  </si>
  <si>
    <t>Vr-Brillen und Meta reaperieren + Standalone</t>
  </si>
  <si>
    <t>Fehlerbehben (Debugging)</t>
  </si>
  <si>
    <t>Programmiert</t>
  </si>
  <si>
    <t>Inno Esa Wettbewerb</t>
  </si>
  <si>
    <t>Word weitergeschrieben und verbessert</t>
  </si>
  <si>
    <t>Szenen erstellt und Fehler behoben</t>
  </si>
  <si>
    <t xml:space="preserve">Handtracking </t>
  </si>
  <si>
    <t>Github fertig geschrieben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</si>
</sst>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h:m"/>
    <numFmt numFmtId="165" formatCode="h:mm"/>
    <numFmt numFmtId="166" formatCode="[hh]:mm"/>
    <numFmt numFmtId="167" formatCode="#,##0.00\ _€"/>
    <numFmt numFmtId="168" formatCode="0.00&quot; Stunden&quot;"/>
    <numFmt numFmtId="169" formatCode="0.00&quot; h&quot;"/>
    <numFmt numFmtId="170" formatCode="[mm]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theme="5" tint="0.59999389629810485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20" fontId="0" fillId="0" borderId="0" xfId="0" applyNumberFormat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9" fontId="1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164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horizontal="right"/>
    </xf>
    <xf numFmtId="166" fontId="0" fillId="3" borderId="1" xfId="0" applyNumberForma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46" fontId="1" fillId="0" borderId="0" xfId="0" applyNumberFormat="1" applyFont="1"/>
    <xf numFmtId="170" fontId="0" fillId="0" borderId="0" xfId="0" applyNumberFormat="1"/>
    <xf numFmtId="1" fontId="0" fillId="0" borderId="0" xfId="0" applyNumberFormat="1"/>
    <xf numFmtId="2" fontId="0" fillId="0" borderId="0" xfId="0" applyNumberFormat="1"/>
    <xf numFmtId="9" fontId="0" fillId="0" borderId="0" xfId="1" applyFont="1"/>
    <xf numFmtId="170" fontId="0" fillId="0" borderId="0" xfId="1" applyNumberFormat="1" applyFont="1"/>
    <xf numFmtId="0" fontId="1" fillId="0" borderId="0" xfId="0" applyNumberFormat="1" applyFont="1"/>
  </cellXfs>
  <cellStyles count="2">
    <cellStyle name="Prozent" xfId="1" builtinId="5"/>
    <cellStyle name="Standard" xfId="0" builtinId="0"/>
  </cellStyles>
  <dxfs count="17"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64" formatCode="h:m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[hh]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numFmt numFmtId="2" formatCode="0.00"/>
    </dxf>
    <dxf>
      <numFmt numFmtId="13" formatCode="0%"/>
    </dxf>
    <dxf>
      <numFmt numFmtId="170" formatCode="[mm]"/>
    </dxf>
    <dxf>
      <numFmt numFmtId="170" formatCode="[mm]"/>
    </dxf>
    <dxf>
      <numFmt numFmtId="166" formatCode="[hh]:mm"/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Stunden in Prozent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Tabelle1!$L$3</c:f>
              <c:strCache>
                <c:ptCount val="1"/>
                <c:pt idx="0">
                  <c:v>Linus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Tabelle1!$Q$3</c:f>
              <c:numCache>
                <c:formatCode>0%</c:formatCode>
                <c:ptCount val="1"/>
                <c:pt idx="0">
                  <c:v>0.64418859649122484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E-4EBB-BB6E-D2A68DA9809C}"/>
            </c:ext>
          </c:extLst>
        </c:ser>
        <c:ser>
          <c:idx val="1"/>
          <c:order val="1"/>
          <c:tx>
            <c:strRef>
              <c:f>Tabelle1!$L$4</c:f>
              <c:strCache>
                <c:ptCount val="1"/>
                <c:pt idx="0">
                  <c:v>Arthur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Tabelle1!$Q$4</c:f>
              <c:numCache>
                <c:formatCode>0%</c:formatCode>
                <c:ptCount val="1"/>
                <c:pt idx="0">
                  <c:v>0.42580409356724935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1E-4EBB-BB6E-D2A68DA9809C}"/>
            </c:ext>
          </c:extLst>
        </c:ser>
        <c:ser>
          <c:idx val="2"/>
          <c:order val="2"/>
          <c:tx>
            <c:strRef>
              <c:f>Tabelle1!$L$5</c:f>
              <c:strCache>
                <c:ptCount val="1"/>
                <c:pt idx="0">
                  <c:v>Valentin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Tabelle1!$Q$5</c:f>
              <c:numCache>
                <c:formatCode>0%</c:formatCode>
                <c:ptCount val="1"/>
                <c:pt idx="0">
                  <c:v>0.48793859649122551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1E-4EBB-BB6E-D2A68DA9809C}"/>
            </c:ext>
          </c:extLst>
        </c:ser>
        <c:ser>
          <c:idx val="3"/>
          <c:order val="3"/>
          <c:tx>
            <c:strRef>
              <c:f>Tabelle1!$L$6</c:f>
              <c:strCache>
                <c:ptCount val="1"/>
                <c:pt idx="0">
                  <c:v>Alles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1E-4EBB-BB6E-D2A68DA980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3337359"/>
        <c:axId val="1163341679"/>
      </c:barChart>
      <c:catAx>
        <c:axId val="1163337359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341679"/>
        <c:crosses val="autoZero"/>
        <c:auto val="1"/>
        <c:lblAlgn val="ctr"/>
        <c:lblOffset val="100"/>
        <c:noMultiLvlLbl val="0"/>
      </c:catAx>
      <c:valAx>
        <c:axId val="116334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33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12417</xdr:colOff>
      <xdr:row>8</xdr:row>
      <xdr:rowOff>185057</xdr:rowOff>
    </xdr:from>
    <xdr:to>
      <xdr:col>18</xdr:col>
      <xdr:colOff>190500</xdr:colOff>
      <xdr:row>23</xdr:row>
      <xdr:rowOff>70757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D40C3BE-BAD2-C4CC-7264-122DAE0FD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R1\Downloads\Stundenliste.xlsx" TargetMode="External"/><Relationship Id="rId1" Type="http://schemas.openxmlformats.org/officeDocument/2006/relationships/externalLinkPath" Target="/Users/Anwender/Downloads/Stundenlis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  <sheetName val="Stundenliste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1F5EC-BCBD-4D95-9F21-060EF7779827}" name="Stundenliste" displayName="Stundenliste" ref="A1:G46" totalsRowShown="0" headerRowDxfId="8" dataDxfId="7">
  <autoFilter ref="A1:G46" xr:uid="{730AE997-56E9-481C-8C9C-45C7D9E3EFFC}"/>
  <sortState xmlns:xlrd2="http://schemas.microsoft.com/office/spreadsheetml/2017/richdata2" ref="A2:G41">
    <sortCondition ref="B1:B41"/>
  </sortState>
  <tableColumns count="7">
    <tableColumn id="1" xr3:uid="{AD59871A-76CC-45F6-8F91-44F7ED02573E}" name="Tag" dataDxfId="6">
      <calculatedColumnFormula>IF(ISNUMBER(B2),LEFT(TEXT(B2,"TTTT"),2)&amp;".","")</calculatedColumnFormula>
    </tableColumn>
    <tableColumn id="2" xr3:uid="{0BE9BF18-BC7D-4870-8E1C-AF08893F5227}" name="Datum" dataDxfId="5"/>
    <tableColumn id="3" xr3:uid="{8264A4E0-F28F-4A0D-A490-C90DCCB13F8E}" name="Tätigkeit/Info" dataDxfId="4"/>
    <tableColumn id="4" xr3:uid="{FE347096-2316-4A4F-8E95-6B08EDE9030A}" name="Von" dataDxfId="3"/>
    <tableColumn id="5" xr3:uid="{DF9965FF-51AE-44CD-90F9-60C1127D4458}" name="Bis" dataDxfId="2"/>
    <tableColumn id="6" xr3:uid="{71889B4E-2C0D-4CC7-AB39-54AAA30FF7DC}" name="Stunden" dataDxfId="1">
      <calculatedColumnFormula>IF(E2&gt;D2,E2-D2,IF(ISNUMBER([1]!Stundenliste[[#This Row],[Von]]),"24:00"-(D2-E2),""))</calculatedColumnFormula>
    </tableColumn>
    <tableColumn id="7" xr3:uid="{37DB6F7E-AF9C-40D4-A31C-91C6CFAF5E2F}" name="Wer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D3482-62D4-45D7-85FA-8EC2E4DDD78D}" name="Tabelle2" displayName="Tabelle2" ref="L2:Q6" totalsRowShown="0">
  <autoFilter ref="L2:Q6" xr:uid="{028D3482-62D4-45D7-85FA-8EC2E4DDD78D}"/>
  <tableColumns count="6">
    <tableColumn id="1" xr3:uid="{9B6AAEA3-668A-4353-A33E-0D79279FD064}" name="Name"/>
    <tableColumn id="2" xr3:uid="{DF593358-143C-4B61-887F-2E7A8967BB61}" name="Stunden" dataDxfId="16"/>
    <tableColumn id="3" xr3:uid="{48C02AA9-4970-411A-A4BA-20AFF4C20E61}" name="Minuten" dataDxfId="15">
      <calculatedColumnFormula>Tabelle2[[#This Row],[Stunden]]</calculatedColumnFormula>
    </tableColumn>
    <tableColumn id="4" xr3:uid="{FBD2B55A-1785-4AEE-A362-0CDA5F4271CA}" name="Stunden2" dataDxfId="14">
      <calculatedColumnFormula>Tabelle2[[#This Row],[Minuten]]/60</calculatedColumnFormula>
    </tableColumn>
    <tableColumn id="5" xr3:uid="{43C88CC5-3A35-4698-8EA5-94C339438E12}" name="Prozent" dataDxfId="13">
      <calculatedColumnFormula>(O3/180)*100</calculatedColumnFormula>
    </tableColumn>
    <tableColumn id="6" xr3:uid="{6AA6588C-B2BB-4A64-8166-D31634AA0806}" name="Spalte1" dataDxfId="12">
      <calculatedColumnFormula>P3*1421.05263157894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5F2195-23C3-4CB7-A5D3-21B8075D8571}" name="Tabelle5" displayName="Tabelle5" ref="I2:J11" totalsRowShown="0" dataDxfId="11">
  <autoFilter ref="I2:J11" xr:uid="{8B5F2195-23C3-4CB7-A5D3-21B8075D8571}"/>
  <tableColumns count="2">
    <tableColumn id="1" xr3:uid="{5F655F81-B105-43EE-8AB9-3B34703E1464}" name="Name" dataDxfId="10"/>
    <tableColumn id="2" xr3:uid="{B0F8400B-CC18-431B-B826-95EE145FC5C8}" name="Zeit" dataDxfId="9">
      <calculatedColumnFormula>SUMIF(Stundenliste[Wer],I3,Stundenliste[Stunden])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98CE-52B5-4F02-9B4B-1774B163D30B}">
  <sheetPr codeName="Tabelle1"/>
  <dimension ref="A1:Q46"/>
  <sheetViews>
    <sheetView tabSelected="1" zoomScaleNormal="100" workbookViewId="0">
      <selection activeCell="I49" sqref="I49"/>
    </sheetView>
  </sheetViews>
  <sheetFormatPr baseColWidth="10" defaultColWidth="11.42578125" defaultRowHeight="15" x14ac:dyDescent="0.25"/>
  <cols>
    <col min="1" max="1" width="9.85546875" bestFit="1" customWidth="1"/>
    <col min="2" max="2" width="10.42578125" customWidth="1"/>
    <col min="3" max="3" width="30.5703125" customWidth="1"/>
    <col min="4" max="4" width="9.42578125" customWidth="1"/>
    <col min="5" max="5" width="8.28515625" customWidth="1"/>
    <col min="6" max="6" width="13.5703125" customWidth="1"/>
    <col min="7" max="7" width="11.42578125" customWidth="1"/>
  </cols>
  <sheetData>
    <row r="1" spans="1:17" x14ac:dyDescent="0.25">
      <c r="A1" s="6" t="s">
        <v>0</v>
      </c>
      <c r="B1" s="7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6" t="s">
        <v>6</v>
      </c>
    </row>
    <row r="2" spans="1:17" x14ac:dyDescent="0.25">
      <c r="A2" s="2" t="str">
        <f t="shared" ref="A2:A34" si="0">IF(ISNUMBER(B2),LEFT(TEXT(B2,"TTTT"),2)&amp;".","")</f>
        <v>So.</v>
      </c>
      <c r="B2" s="3">
        <v>45809</v>
      </c>
      <c r="C2" s="2" t="s">
        <v>8</v>
      </c>
      <c r="D2" s="4">
        <v>0.29166666666666669</v>
      </c>
      <c r="E2" s="4">
        <v>0.75</v>
      </c>
      <c r="F2" s="5">
        <f>IF(E2&gt;D2,E2-D2,IF(ISNUMBER([1]!Stundenliste[[#This Row],[Von]]),"24:00"-(D2-E2),""))</f>
        <v>0.45833333333333331</v>
      </c>
      <c r="G2" s="2" t="s">
        <v>7</v>
      </c>
      <c r="I2" t="s">
        <v>15</v>
      </c>
      <c r="J2" t="s">
        <v>16</v>
      </c>
      <c r="L2" t="s">
        <v>15</v>
      </c>
      <c r="M2" t="s">
        <v>5</v>
      </c>
      <c r="N2" t="s">
        <v>41</v>
      </c>
      <c r="O2" t="s">
        <v>42</v>
      </c>
      <c r="P2" t="s">
        <v>43</v>
      </c>
      <c r="Q2" t="s">
        <v>49</v>
      </c>
    </row>
    <row r="3" spans="1:17" x14ac:dyDescent="0.25">
      <c r="A3" s="2" t="str">
        <f t="shared" si="0"/>
        <v>Di.</v>
      </c>
      <c r="B3" s="3">
        <v>45811</v>
      </c>
      <c r="C3" s="2" t="s">
        <v>18</v>
      </c>
      <c r="D3" s="4">
        <v>0.30902777777777779</v>
      </c>
      <c r="E3" s="4">
        <v>0.41319444444444442</v>
      </c>
      <c r="F3" s="5">
        <f>IF(E3&gt;D3,E3-D3,IF(ISNUMBER([1]!Stundenliste[[#This Row],[Von]]),"24:00"-(D3-E3),""))</f>
        <v>0.10416666666666663</v>
      </c>
      <c r="G3" s="3" t="s">
        <v>12</v>
      </c>
      <c r="H3" s="1"/>
      <c r="I3" s="2" t="s">
        <v>9</v>
      </c>
      <c r="J3" s="10">
        <f>SUMIF(Stundenliste[Wer],I3,Stundenliste[Stunden])</f>
        <v>0.77083333333333315</v>
      </c>
      <c r="L3" t="s">
        <v>10</v>
      </c>
      <c r="M3" s="11">
        <f>SUM(J4,J7,J8,J11)</f>
        <v>4.8958333333333339</v>
      </c>
      <c r="N3" s="18">
        <f>M3</f>
        <v>4.8958333333333339</v>
      </c>
      <c r="O3" s="18">
        <f>N3/60</f>
        <v>8.1597222222222238E-2</v>
      </c>
      <c r="P3" s="22">
        <f t="shared" ref="P3:P6" si="1">(O3/180)*100</f>
        <v>4.5331790123456797E-2</v>
      </c>
      <c r="Q3" s="21">
        <f>(P3*1421.05263157894)/100</f>
        <v>0.64418859649122484</v>
      </c>
    </row>
    <row r="4" spans="1:17" x14ac:dyDescent="0.25">
      <c r="A4" s="2" t="str">
        <f t="shared" si="0"/>
        <v>Di.</v>
      </c>
      <c r="B4" s="3">
        <v>45818</v>
      </c>
      <c r="C4" s="2" t="s">
        <v>19</v>
      </c>
      <c r="D4" s="4">
        <v>0.30902777777777779</v>
      </c>
      <c r="E4" s="4">
        <v>0.41319444444444442</v>
      </c>
      <c r="F4" s="5">
        <f>IF(E4&gt;D4,E4-D4,IF(ISNUMBER([1]!Stundenliste[[#This Row],[Von]]),"24:00"-(D4-E4),""))</f>
        <v>0.10416666666666663</v>
      </c>
      <c r="G4" s="2" t="s">
        <v>7</v>
      </c>
      <c r="I4" s="3" t="s">
        <v>10</v>
      </c>
      <c r="J4" s="10">
        <f>SUMIF(Stundenliste[Wer],I4,Stundenliste[Stunden])</f>
        <v>1.25</v>
      </c>
      <c r="L4" t="s">
        <v>11</v>
      </c>
      <c r="M4" s="11">
        <f>SUM(J5,J8,J9,J11)</f>
        <v>3.2361111111111116</v>
      </c>
      <c r="N4" s="18">
        <f t="shared" ref="N4:N5" si="2">M4</f>
        <v>3.2361111111111116</v>
      </c>
      <c r="O4" s="18">
        <f t="shared" ref="O4:O5" si="3">N4/60</f>
        <v>5.393518518518519E-2</v>
      </c>
      <c r="P4" s="22">
        <f t="shared" si="1"/>
        <v>2.9963991769547331E-2</v>
      </c>
      <c r="Q4" s="21">
        <f t="shared" ref="Q4:Q5" si="4">(P4*1421.05263157894)/100</f>
        <v>0.42580409356724935</v>
      </c>
    </row>
    <row r="5" spans="1:17" x14ac:dyDescent="0.25">
      <c r="A5" s="2" t="str">
        <f t="shared" si="0"/>
        <v>Di.</v>
      </c>
      <c r="B5" s="3">
        <v>45825</v>
      </c>
      <c r="C5" s="2" t="s">
        <v>20</v>
      </c>
      <c r="D5" s="4">
        <v>0.30902777777777779</v>
      </c>
      <c r="E5" s="4">
        <v>0.41319444444444442</v>
      </c>
      <c r="F5" s="5">
        <f>IF(E5&gt;D5,E5-D5,IF(ISNUMBER([1]!Stundenliste[[#This Row],[Von]]),"24:00"-(D5-E5),""))</f>
        <v>0.10416666666666663</v>
      </c>
      <c r="G5" s="2" t="s">
        <v>7</v>
      </c>
      <c r="I5" s="3" t="s">
        <v>11</v>
      </c>
      <c r="J5" s="10">
        <f>SUMIF(Stundenliste[Wer],I5,Stundenliste[Stunden])</f>
        <v>9.0277777777778123E-2</v>
      </c>
      <c r="L5" t="s">
        <v>9</v>
      </c>
      <c r="M5" s="11">
        <f>SUM(J3,J7,J9,J11)</f>
        <v>3.708333333333333</v>
      </c>
      <c r="N5" s="18">
        <f t="shared" si="2"/>
        <v>3.708333333333333</v>
      </c>
      <c r="O5" s="18">
        <f t="shared" si="3"/>
        <v>6.1805555555555551E-2</v>
      </c>
      <c r="P5" s="22">
        <f t="shared" si="1"/>
        <v>3.433641975308642E-2</v>
      </c>
      <c r="Q5" s="21">
        <f t="shared" si="4"/>
        <v>0.48793859649122551</v>
      </c>
    </row>
    <row r="6" spans="1:17" x14ac:dyDescent="0.25">
      <c r="A6" s="2" t="str">
        <f t="shared" si="0"/>
        <v>Di.</v>
      </c>
      <c r="B6" s="3">
        <v>45832</v>
      </c>
      <c r="C6" s="2" t="s">
        <v>17</v>
      </c>
      <c r="D6" s="4">
        <v>0.30902777777777779</v>
      </c>
      <c r="E6" s="4">
        <v>0.60069444444444442</v>
      </c>
      <c r="F6" s="5">
        <f>IF(E6&gt;D6,E6-D6,IF(ISNUMBER([1]!Stundenliste[[#This Row],[Von]]),"24:00"-(D6-E6),""))</f>
        <v>0.29166666666666663</v>
      </c>
      <c r="G6" s="2" t="s">
        <v>7</v>
      </c>
      <c r="I6" s="3"/>
      <c r="J6" s="10"/>
      <c r="L6" t="s">
        <v>48</v>
      </c>
      <c r="M6" s="11"/>
      <c r="N6" s="18"/>
      <c r="O6" s="19">
        <v>180</v>
      </c>
      <c r="P6" s="20">
        <f t="shared" si="1"/>
        <v>100</v>
      </c>
      <c r="Q6" s="21">
        <f>(P6)/100</f>
        <v>1</v>
      </c>
    </row>
    <row r="7" spans="1:17" x14ac:dyDescent="0.25">
      <c r="A7" s="2" t="str">
        <f t="shared" si="0"/>
        <v>Di.</v>
      </c>
      <c r="B7" s="3">
        <v>45881</v>
      </c>
      <c r="C7" s="2" t="s">
        <v>37</v>
      </c>
      <c r="D7" s="4">
        <v>0.75</v>
      </c>
      <c r="E7" s="4">
        <v>0.875</v>
      </c>
      <c r="F7" s="12">
        <f>IF(E7&gt;D7,E7-D7,IF(ISNUMBER([1]!Stundenliste[[#This Row],[Von]]),"24:00"-(D7-E7),""))</f>
        <v>0.125</v>
      </c>
      <c r="G7" s="2" t="s">
        <v>7</v>
      </c>
      <c r="I7" s="3" t="s">
        <v>12</v>
      </c>
      <c r="J7" s="10">
        <f>SUMIF(Stundenliste[Wer],I7,Stundenliste[Stunden])</f>
        <v>0.49999999999999989</v>
      </c>
      <c r="M7" s="15">
        <f>SUM(F2:F46)</f>
        <v>5.7569444444444464</v>
      </c>
      <c r="N7">
        <v>180</v>
      </c>
    </row>
    <row r="8" spans="1:17" x14ac:dyDescent="0.25">
      <c r="A8" s="2" t="str">
        <f t="shared" si="0"/>
        <v>Sa.</v>
      </c>
      <c r="B8" s="3">
        <v>45885</v>
      </c>
      <c r="C8" s="2" t="s">
        <v>21</v>
      </c>
      <c r="D8" s="4">
        <v>0.70833333333333337</v>
      </c>
      <c r="E8" s="4">
        <v>0.83333333333333337</v>
      </c>
      <c r="F8" s="5">
        <f>IF(E8&gt;D8,E8-D8,IF(ISNUMBER([1]!Stundenliste[[#This Row],[Von]]),"24:00"-(D8-E8),""))</f>
        <v>0.125</v>
      </c>
      <c r="G8" s="2" t="s">
        <v>7</v>
      </c>
      <c r="I8" s="3" t="s">
        <v>13</v>
      </c>
      <c r="J8" s="10">
        <f>SUMIF(Stundenliste[Wer],I8,Stundenliste[Stunden])</f>
        <v>0.70833333333333337</v>
      </c>
      <c r="M8" s="16">
        <f>TEXT(M7,"[h]")+TEXT(M7,"mm")/60</f>
        <v>138.16666666666666</v>
      </c>
    </row>
    <row r="9" spans="1:17" x14ac:dyDescent="0.25">
      <c r="A9" s="2" t="str">
        <f t="shared" si="0"/>
        <v>Fr.</v>
      </c>
      <c r="B9" s="3">
        <v>45919</v>
      </c>
      <c r="C9" s="2" t="s">
        <v>23</v>
      </c>
      <c r="D9" s="4">
        <v>0.70833333333333337</v>
      </c>
      <c r="E9" s="4">
        <v>0.79166666666666663</v>
      </c>
      <c r="F9" s="12">
        <f>IF(E9&gt;D9,E9-D9,IF(ISNUMBER([1]!Stundenliste[[#This Row],[Von]]),"24:00"-(D9-E9),""))</f>
        <v>8.3333333333333259E-2</v>
      </c>
      <c r="G9" s="2" t="s">
        <v>10</v>
      </c>
      <c r="I9" s="3" t="s">
        <v>14</v>
      </c>
      <c r="J9" s="10">
        <f>SUMIF(Stundenliste[Wer],I9,Stundenliste[Stunden])</f>
        <v>0</v>
      </c>
    </row>
    <row r="10" spans="1:17" x14ac:dyDescent="0.25">
      <c r="A10" s="2" t="str">
        <f t="shared" si="0"/>
        <v>Sa.</v>
      </c>
      <c r="B10" s="3">
        <v>45920</v>
      </c>
      <c r="C10" s="2" t="s">
        <v>39</v>
      </c>
      <c r="D10" s="4">
        <v>0.5</v>
      </c>
      <c r="E10" s="4">
        <v>0.66666666666666663</v>
      </c>
      <c r="F10" s="12">
        <f>IF(E10&gt;D10,E10-D10,IF(ISNUMBER([1]!Stundenliste[[#This Row],[Von]]),"24:00"-(D10-E10),""))</f>
        <v>0.16666666666666663</v>
      </c>
      <c r="G10" s="2" t="s">
        <v>12</v>
      </c>
      <c r="I10" s="3"/>
      <c r="J10" s="10"/>
    </row>
    <row r="11" spans="1:17" x14ac:dyDescent="0.25">
      <c r="A11" s="2" t="str">
        <f t="shared" si="0"/>
        <v>Mi.</v>
      </c>
      <c r="B11" s="3">
        <v>45924</v>
      </c>
      <c r="C11" s="2" t="s">
        <v>22</v>
      </c>
      <c r="D11" s="4">
        <v>0.58333333333333337</v>
      </c>
      <c r="E11" s="4">
        <v>0.66666666666666663</v>
      </c>
      <c r="F11" s="5">
        <f>IF(E11&gt;D11,E11-D11,IF(ISNUMBER([1]!Stundenliste[[#This Row],[Von]]),"24:00"-(D11-E11),""))</f>
        <v>8.3333333333333259E-2</v>
      </c>
      <c r="G11" s="2" t="s">
        <v>12</v>
      </c>
      <c r="I11" s="3" t="s">
        <v>7</v>
      </c>
      <c r="J11" s="10">
        <f>SUMIF(Stundenliste[Wer],I11,Stundenliste[Stunden])</f>
        <v>2.4375</v>
      </c>
    </row>
    <row r="12" spans="1:17" x14ac:dyDescent="0.25">
      <c r="A12" s="2" t="str">
        <f t="shared" si="0"/>
        <v>So.</v>
      </c>
      <c r="B12" s="3">
        <v>45928</v>
      </c>
      <c r="C12" s="2" t="s">
        <v>24</v>
      </c>
      <c r="D12" s="4">
        <v>0.47916666666666669</v>
      </c>
      <c r="E12" s="4">
        <v>0.5625</v>
      </c>
      <c r="F12" s="12">
        <f>IF(E12&gt;D12,E12-D12,IF(ISNUMBER([1]!Stundenliste[[#This Row],[Von]]),"24:00"-(D12-E12),""))</f>
        <v>8.3333333333333315E-2</v>
      </c>
      <c r="G12" s="13" t="s">
        <v>10</v>
      </c>
    </row>
    <row r="13" spans="1:17" x14ac:dyDescent="0.25">
      <c r="A13" s="2" t="str">
        <f t="shared" si="0"/>
        <v>Fr.</v>
      </c>
      <c r="B13" s="3">
        <v>45940</v>
      </c>
      <c r="C13" s="2" t="s">
        <v>35</v>
      </c>
      <c r="D13" s="4">
        <v>0.83333333333333337</v>
      </c>
      <c r="E13" s="4">
        <v>0.875</v>
      </c>
      <c r="F13" s="12">
        <f>IF(E13&gt;D13,E13-D13,IF(ISNUMBER([1]!Stundenliste[[#This Row],[Von]]),"24:00"-(D13-E13),""))</f>
        <v>4.166666666666663E-2</v>
      </c>
      <c r="G13" s="2" t="s">
        <v>7</v>
      </c>
      <c r="I13" s="14"/>
      <c r="J13" s="9"/>
      <c r="K13" s="2"/>
    </row>
    <row r="14" spans="1:17" x14ac:dyDescent="0.25">
      <c r="A14" s="2" t="str">
        <f t="shared" si="0"/>
        <v>Fr.</v>
      </c>
      <c r="B14" s="3">
        <v>45968</v>
      </c>
      <c r="C14" s="2" t="s">
        <v>36</v>
      </c>
      <c r="D14" s="4">
        <v>0.625</v>
      </c>
      <c r="E14" s="4">
        <v>0.70833333333333337</v>
      </c>
      <c r="F14" s="12">
        <f>IF(E14&gt;D14,E14-D14,IF(ISNUMBER([1]!Stundenliste[[#This Row],[Von]]),"24:00"-(D14-E14),""))</f>
        <v>8.333333333333337E-2</v>
      </c>
      <c r="G14" s="2" t="s">
        <v>7</v>
      </c>
      <c r="I14" s="14"/>
      <c r="J14" s="9"/>
      <c r="K14" s="2"/>
    </row>
    <row r="15" spans="1:17" x14ac:dyDescent="0.25">
      <c r="A15" s="2" t="str">
        <f t="shared" si="0"/>
        <v>Sa.</v>
      </c>
      <c r="B15" s="3">
        <v>45969</v>
      </c>
      <c r="C15" s="2" t="s">
        <v>29</v>
      </c>
      <c r="D15" s="4">
        <v>0.58333333333333337</v>
      </c>
      <c r="E15" s="4">
        <v>0.91666666666666663</v>
      </c>
      <c r="F15" s="12">
        <f>IF(E15&gt;D15,E15-D15,IF(ISNUMBER([1]!Stundenliste[[#This Row],[Von]]),"24:00"-(D15-E15),""))</f>
        <v>0.33333333333333326</v>
      </c>
      <c r="G15" s="2" t="s">
        <v>9</v>
      </c>
    </row>
    <row r="16" spans="1:17" x14ac:dyDescent="0.25">
      <c r="A16" s="2" t="str">
        <f t="shared" si="0"/>
        <v>Sa.</v>
      </c>
      <c r="B16" s="3">
        <v>45969</v>
      </c>
      <c r="C16" s="2" t="s">
        <v>29</v>
      </c>
      <c r="D16" s="4">
        <v>0.58333333333333337</v>
      </c>
      <c r="E16" s="4">
        <v>0.83333333333333337</v>
      </c>
      <c r="F16" s="12">
        <f>IF(E16&gt;D16,E16-D16,IF(ISNUMBER([1]!Stundenliste[[#This Row],[Von]]),"24:00"-(D16-E16),""))</f>
        <v>0.25</v>
      </c>
      <c r="G16" s="2" t="s">
        <v>13</v>
      </c>
    </row>
    <row r="17" spans="1:7" x14ac:dyDescent="0.25">
      <c r="A17" s="2" t="str">
        <f t="shared" si="0"/>
        <v>Mi.</v>
      </c>
      <c r="B17" s="3">
        <v>45973</v>
      </c>
      <c r="C17" s="2" t="s">
        <v>35</v>
      </c>
      <c r="D17" s="4">
        <v>0.49305555555555558</v>
      </c>
      <c r="E17" s="4">
        <v>0.52777777777777779</v>
      </c>
      <c r="F17" s="12">
        <f>IF(E17&gt;D17,E17-D17,IF(ISNUMBER([1]!Stundenliste[[#This Row],[Von]]),"24:00"-(D17-E17),""))</f>
        <v>3.472222222222221E-2</v>
      </c>
      <c r="G17" s="2" t="s">
        <v>7</v>
      </c>
    </row>
    <row r="18" spans="1:7" x14ac:dyDescent="0.25">
      <c r="A18" s="2" t="str">
        <f t="shared" si="0"/>
        <v>Mi.</v>
      </c>
      <c r="B18" s="3">
        <v>45980</v>
      </c>
      <c r="C18" s="2" t="s">
        <v>30</v>
      </c>
      <c r="D18" s="4">
        <v>0.70833333333333304</v>
      </c>
      <c r="E18" s="4">
        <v>0.79166666666666663</v>
      </c>
      <c r="F18" s="12">
        <f>IF(E18&gt;D18,E18-D18,IF(ISNUMBER([1]!Stundenliste[[#This Row],[Von]]),"24:00"-(D18-E18),""))</f>
        <v>8.3333333333333592E-2</v>
      </c>
      <c r="G18" s="2" t="s">
        <v>7</v>
      </c>
    </row>
    <row r="19" spans="1:7" x14ac:dyDescent="0.25">
      <c r="A19" s="2" t="str">
        <f t="shared" si="0"/>
        <v>Do.</v>
      </c>
      <c r="B19" s="3">
        <v>45981</v>
      </c>
      <c r="C19" s="2" t="s">
        <v>30</v>
      </c>
      <c r="D19" s="4">
        <v>0.66666666666666663</v>
      </c>
      <c r="E19" s="4">
        <v>0.75</v>
      </c>
      <c r="F19" s="12">
        <f>IF(E19&gt;D19,E19-D19,IF(ISNUMBER([1]!Stundenliste[[#This Row],[Von]]),"24:00"-(D19-E19),""))</f>
        <v>8.333333333333337E-2</v>
      </c>
      <c r="G19" s="2" t="s">
        <v>7</v>
      </c>
    </row>
    <row r="20" spans="1:7" x14ac:dyDescent="0.25">
      <c r="A20" s="2" t="str">
        <f t="shared" si="0"/>
        <v>Fr.</v>
      </c>
      <c r="B20" s="3">
        <v>45982</v>
      </c>
      <c r="C20" s="2" t="s">
        <v>28</v>
      </c>
      <c r="D20" s="4">
        <v>0.5</v>
      </c>
      <c r="E20" s="4">
        <v>0.625</v>
      </c>
      <c r="F20" s="12">
        <f>IF(E20&gt;D20,E20-D20,IF(ISNUMBER([1]!Stundenliste[[#This Row],[Von]]),"24:00"-(D20-E20),""))</f>
        <v>0.125</v>
      </c>
      <c r="G20" s="2" t="s">
        <v>7</v>
      </c>
    </row>
    <row r="21" spans="1:7" x14ac:dyDescent="0.25">
      <c r="A21" s="2" t="str">
        <f t="shared" si="0"/>
        <v>Fr.</v>
      </c>
      <c r="B21" s="3">
        <v>45982</v>
      </c>
      <c r="C21" s="2" t="s">
        <v>40</v>
      </c>
      <c r="D21" s="4">
        <v>0.58333333333333337</v>
      </c>
      <c r="E21" s="4">
        <v>0.66666666666666663</v>
      </c>
      <c r="F21" s="12">
        <f>IF(E21&gt;D21,E21-D21,IF(ISNUMBER([1]!Stundenliste[[#This Row],[Von]]),"24:00"-(D21-E21),""))</f>
        <v>8.3333333333333259E-2</v>
      </c>
      <c r="G21" s="2" t="s">
        <v>7</v>
      </c>
    </row>
    <row r="22" spans="1:7" x14ac:dyDescent="0.25">
      <c r="A22" s="2" t="str">
        <f t="shared" si="0"/>
        <v>Sa.</v>
      </c>
      <c r="B22" s="3">
        <v>45983</v>
      </c>
      <c r="C22" s="2" t="s">
        <v>28</v>
      </c>
      <c r="D22" s="4">
        <v>0.33333333333333331</v>
      </c>
      <c r="E22" s="4">
        <v>0.45833333333333331</v>
      </c>
      <c r="F22" s="12">
        <f>IF(E22&gt;D22,E22-D22,IF(ISNUMBER([1]!Stundenliste[[#This Row],[Von]]),"24:00"-(D22-E22),""))</f>
        <v>0.125</v>
      </c>
      <c r="G22" s="2" t="s">
        <v>7</v>
      </c>
    </row>
    <row r="23" spans="1:7" x14ac:dyDescent="0.25">
      <c r="A23" s="2" t="str">
        <f t="shared" si="0"/>
        <v>Sa.</v>
      </c>
      <c r="B23" s="3">
        <v>45990</v>
      </c>
      <c r="C23" s="2" t="s">
        <v>33</v>
      </c>
      <c r="D23" s="4">
        <v>0.83333333333333337</v>
      </c>
      <c r="E23" s="17">
        <v>1</v>
      </c>
      <c r="F23" s="12">
        <f>IF(E23&gt;D23,E23-D23,IF(ISNUMBER([1]!Stundenliste[[#This Row],[Von]]),"24:00"-(D23-E23),""))</f>
        <v>0.16666666666666663</v>
      </c>
      <c r="G23" s="2" t="s">
        <v>10</v>
      </c>
    </row>
    <row r="24" spans="1:7" x14ac:dyDescent="0.25">
      <c r="A24" s="2" t="str">
        <f t="shared" si="0"/>
        <v>Fr.</v>
      </c>
      <c r="B24" s="3">
        <v>45996</v>
      </c>
      <c r="C24" s="2" t="s">
        <v>38</v>
      </c>
      <c r="D24" s="4">
        <v>0.70833333333333337</v>
      </c>
      <c r="E24" s="4">
        <v>0.79166666666666663</v>
      </c>
      <c r="F24" s="12">
        <f>IF(E24&gt;D24,E24-D24,IF(ISNUMBER([1]!Stundenliste[[#This Row],[Von]]),"24:00"-(D24-E24),""))</f>
        <v>8.3333333333333259E-2</v>
      </c>
      <c r="G24" s="2" t="s">
        <v>10</v>
      </c>
    </row>
    <row r="25" spans="1:7" x14ac:dyDescent="0.25">
      <c r="A25" s="2" t="str">
        <f t="shared" si="0"/>
        <v>Mo.</v>
      </c>
      <c r="B25" s="3">
        <v>45999</v>
      </c>
      <c r="C25" s="2" t="s">
        <v>32</v>
      </c>
      <c r="D25" s="4">
        <v>0.45833333333333331</v>
      </c>
      <c r="E25" s="4">
        <v>0.49305555555555558</v>
      </c>
      <c r="F25" s="12">
        <f>IF(E25&gt;D25,E25-D25,IF(ISNUMBER([1]!Stundenliste[[#This Row],[Von]]),"24:00"-(D25-E25),""))</f>
        <v>3.4722222222222265E-2</v>
      </c>
      <c r="G25" s="2" t="s">
        <v>7</v>
      </c>
    </row>
    <row r="26" spans="1:7" x14ac:dyDescent="0.25">
      <c r="A26" s="2" t="str">
        <f t="shared" si="0"/>
        <v>Mi.</v>
      </c>
      <c r="B26" s="3">
        <v>46001</v>
      </c>
      <c r="C26" s="2" t="s">
        <v>25</v>
      </c>
      <c r="D26" s="4">
        <v>0.52777777777777779</v>
      </c>
      <c r="E26" s="4">
        <v>0.67361111111111116</v>
      </c>
      <c r="F26" s="12">
        <f>IF(E26&gt;D26,E26-D26,IF(ISNUMBER([1]!Stundenliste[[#This Row],[Von]]),"24:00"-(D26-E26),""))</f>
        <v>0.14583333333333337</v>
      </c>
      <c r="G26" s="2" t="s">
        <v>12</v>
      </c>
    </row>
    <row r="27" spans="1:7" x14ac:dyDescent="0.25">
      <c r="A27" s="2" t="str">
        <f t="shared" si="0"/>
        <v>Mi.</v>
      </c>
      <c r="B27" s="3">
        <v>46001</v>
      </c>
      <c r="C27" s="2" t="s">
        <v>25</v>
      </c>
      <c r="D27" s="9">
        <v>0.58333333333333304</v>
      </c>
      <c r="E27" s="4">
        <v>0.67361111111111116</v>
      </c>
      <c r="F27" s="12">
        <f>IF(E27&gt;D27,E27-D27,IF(ISNUMBER([1]!Stundenliste[[#This Row],[Von]]),"24:00"-(D27-E27),""))</f>
        <v>9.0277777777778123E-2</v>
      </c>
      <c r="G27" s="2" t="s">
        <v>11</v>
      </c>
    </row>
    <row r="28" spans="1:7" x14ac:dyDescent="0.25">
      <c r="A28" s="2" t="str">
        <f t="shared" si="0"/>
        <v>Mi.</v>
      </c>
      <c r="B28" s="3">
        <v>46001</v>
      </c>
      <c r="C28" s="2" t="s">
        <v>35</v>
      </c>
      <c r="D28" s="4">
        <v>0.49305555555555558</v>
      </c>
      <c r="E28" s="4">
        <v>0.52777777777777779</v>
      </c>
      <c r="F28" s="12">
        <f>IF(E28&gt;D28,E28-D28,IF(ISNUMBER([1]!Stundenliste[[#This Row],[Von]]),"24:00"-(D28-E28),""))</f>
        <v>3.472222222222221E-2</v>
      </c>
      <c r="G28" s="2" t="s">
        <v>7</v>
      </c>
    </row>
    <row r="29" spans="1:7" x14ac:dyDescent="0.25">
      <c r="A29" s="2" t="str">
        <f t="shared" si="0"/>
        <v>Mo.</v>
      </c>
      <c r="B29" s="3">
        <v>46013</v>
      </c>
      <c r="C29" s="2" t="s">
        <v>31</v>
      </c>
      <c r="D29" s="4">
        <v>0.58333333333333337</v>
      </c>
      <c r="E29" s="4">
        <v>0.67361111111111116</v>
      </c>
      <c r="F29" s="12">
        <f>IF(E29&gt;D29,E29-D29,IF(ISNUMBER([1]!Stundenliste[[#This Row],[Von]]),"24:00"-(D29-E29),""))</f>
        <v>9.027777777777779E-2</v>
      </c>
      <c r="G29" s="2" t="s">
        <v>7</v>
      </c>
    </row>
    <row r="30" spans="1:7" x14ac:dyDescent="0.25">
      <c r="A30" s="2" t="str">
        <f t="shared" si="0"/>
        <v>Mo.</v>
      </c>
      <c r="B30" s="3">
        <v>46013</v>
      </c>
      <c r="C30" s="2" t="s">
        <v>35</v>
      </c>
      <c r="D30" s="4">
        <v>0.49305555555555558</v>
      </c>
      <c r="E30" s="4">
        <v>0.52777777777777779</v>
      </c>
      <c r="F30" s="12">
        <f>IF(E30&gt;D30,E30-D30,IF(ISNUMBER([1]!Stundenliste[[#This Row],[Von]]),"24:00"-(D30-E30),""))</f>
        <v>3.472222222222221E-2</v>
      </c>
      <c r="G30" s="2" t="s">
        <v>7</v>
      </c>
    </row>
    <row r="31" spans="1:7" x14ac:dyDescent="0.25">
      <c r="A31" s="2" t="str">
        <f t="shared" si="0"/>
        <v>Fr.</v>
      </c>
      <c r="B31" s="3">
        <v>46017</v>
      </c>
      <c r="C31" s="2" t="s">
        <v>26</v>
      </c>
      <c r="D31" s="4">
        <v>0.75</v>
      </c>
      <c r="E31" s="4">
        <v>1</v>
      </c>
      <c r="F31" s="12">
        <f>IF(E31&gt;D31,E31-D31,IF(ISNUMBER([1]!Stundenliste[[#This Row],[Von]]),"24:00"-(D31-E31),""))</f>
        <v>0.25</v>
      </c>
      <c r="G31" s="2" t="s">
        <v>10</v>
      </c>
    </row>
    <row r="32" spans="1:7" x14ac:dyDescent="0.25">
      <c r="A32" s="2" t="str">
        <f t="shared" si="0"/>
        <v>Fr.</v>
      </c>
      <c r="B32" s="3">
        <v>46017</v>
      </c>
      <c r="C32" s="2" t="s">
        <v>27</v>
      </c>
      <c r="D32" s="4">
        <v>0.77083333333333337</v>
      </c>
      <c r="E32" s="4">
        <v>0.9375</v>
      </c>
      <c r="F32" s="12">
        <f>IF(E32&gt;D32,E32-D32,IF(ISNUMBER([1]!Stundenliste[[#This Row],[Von]]),"24:00"-(D32-E32),""))</f>
        <v>0.16666666666666663</v>
      </c>
      <c r="G32" s="2" t="s">
        <v>9</v>
      </c>
    </row>
    <row r="33" spans="1:7" x14ac:dyDescent="0.25">
      <c r="A33" s="2" t="str">
        <f t="shared" si="0"/>
        <v>Mo.</v>
      </c>
      <c r="B33" s="3">
        <v>46020</v>
      </c>
      <c r="C33" s="2" t="s">
        <v>34</v>
      </c>
      <c r="D33" s="4">
        <v>0.5</v>
      </c>
      <c r="E33" s="4">
        <v>0.60416666666666663</v>
      </c>
      <c r="F33" s="12">
        <f>IF(E33&gt;D33,E33-D33,IF(ISNUMBER([1]!Stundenliste[[#This Row],[Von]]),"24:00"-(D33-E33),""))</f>
        <v>0.10416666666666663</v>
      </c>
      <c r="G33" s="2" t="s">
        <v>9</v>
      </c>
    </row>
    <row r="34" spans="1:7" x14ac:dyDescent="0.25">
      <c r="A34" s="2" t="str">
        <f t="shared" si="0"/>
        <v>Mo.</v>
      </c>
      <c r="B34" s="3">
        <v>46020</v>
      </c>
      <c r="C34" s="2" t="s">
        <v>34</v>
      </c>
      <c r="D34" s="4">
        <v>0.5</v>
      </c>
      <c r="E34" s="4">
        <v>0.75</v>
      </c>
      <c r="F34" s="12">
        <f>IF(E34&gt;D34,E34-D34,IF(ISNUMBER([1]!Stundenliste[[#This Row],[Von]]),"24:00"-(D34-E34),""))</f>
        <v>0.25</v>
      </c>
      <c r="G34" s="2" t="s">
        <v>13</v>
      </c>
    </row>
    <row r="35" spans="1:7" x14ac:dyDescent="0.25">
      <c r="A35" s="2" t="str">
        <f t="shared" ref="A35:A41" si="5">IF(ISNUMBER(B35),LEFT(TEXT(B35,"TTTT"),2)&amp;".","")</f>
        <v>Fr.</v>
      </c>
      <c r="B35" s="3">
        <v>46024</v>
      </c>
      <c r="C35" s="2" t="s">
        <v>44</v>
      </c>
      <c r="D35" s="4">
        <v>0.5</v>
      </c>
      <c r="E35" s="4">
        <v>0.58333333333333337</v>
      </c>
      <c r="F35" s="12">
        <f>IF(E35&gt;D35,E35-D35,IF(ISNUMBER([1]!Stundenliste[[#This Row],[Von]]),"24:00"-(D35-E35),""))</f>
        <v>8.333333333333337E-2</v>
      </c>
      <c r="G35" s="2" t="s">
        <v>10</v>
      </c>
    </row>
    <row r="36" spans="1:7" x14ac:dyDescent="0.25">
      <c r="A36" s="2" t="str">
        <f t="shared" si="5"/>
        <v>Sa.</v>
      </c>
      <c r="B36" s="3">
        <v>46025</v>
      </c>
      <c r="C36" s="2" t="s">
        <v>45</v>
      </c>
      <c r="D36" s="4">
        <v>0.5</v>
      </c>
      <c r="E36" s="4">
        <v>0.58333333333333337</v>
      </c>
      <c r="F36" s="12">
        <f>IF(E36&gt;D36,E36-D36,IF(ISNUMBER([1]!Stundenliste[[#This Row],[Von]]),"24:00"-(D36-E36),""))</f>
        <v>8.333333333333337E-2</v>
      </c>
      <c r="G36" s="2" t="s">
        <v>10</v>
      </c>
    </row>
    <row r="37" spans="1:7" x14ac:dyDescent="0.25">
      <c r="A37" s="2" t="str">
        <f t="shared" si="5"/>
        <v>So.</v>
      </c>
      <c r="B37" s="3">
        <v>46026</v>
      </c>
      <c r="C37" s="2" t="s">
        <v>46</v>
      </c>
      <c r="D37" s="4">
        <v>0.70833333333333337</v>
      </c>
      <c r="E37" s="4">
        <v>0.875</v>
      </c>
      <c r="F37" s="12">
        <f>IF(E37&gt;D37,E37-D37,IF(ISNUMBER([1]!Stundenliste[[#This Row],[Von]]),"24:00"-(D37-E37),""))</f>
        <v>0.16666666666666663</v>
      </c>
      <c r="G37" s="2" t="s">
        <v>7</v>
      </c>
    </row>
    <row r="38" spans="1:7" x14ac:dyDescent="0.25">
      <c r="A38" s="2" t="str">
        <f t="shared" si="5"/>
        <v>Fr.</v>
      </c>
      <c r="B38" s="3">
        <v>46031</v>
      </c>
      <c r="C38" s="2" t="s">
        <v>47</v>
      </c>
      <c r="D38" s="4">
        <v>0.30902777777777779</v>
      </c>
      <c r="E38" s="4">
        <v>0.35069444444444442</v>
      </c>
      <c r="F38" s="12">
        <f>IF(E38&gt;D38,E38-D38,IF(ISNUMBER([1]!Stundenliste[[#This Row],[Von]]),"24:00"-(D38-E38),""))</f>
        <v>4.166666666666663E-2</v>
      </c>
      <c r="G38" s="2" t="s">
        <v>7</v>
      </c>
    </row>
    <row r="39" spans="1:7" x14ac:dyDescent="0.25">
      <c r="A39" s="2" t="str">
        <f>IF(ISNUMBER(B39),LEFT(TEXT(B39,"TTTT"),2)&amp;".","")</f>
        <v>Mi.</v>
      </c>
      <c r="B39" s="3">
        <v>46050</v>
      </c>
      <c r="C39" s="2" t="s">
        <v>51</v>
      </c>
      <c r="D39" s="4">
        <v>0.72222222222222221</v>
      </c>
      <c r="E39" s="4">
        <v>0.76388888888888884</v>
      </c>
      <c r="F39" s="12">
        <f>IF(E39&gt;D39,E39-D39,IF(ISNUMBER([1]!Stundenliste[[#This Row],[Von]]),"24:00"-(D39-E39),""))</f>
        <v>4.166666666666663E-2</v>
      </c>
      <c r="G39" s="2" t="s">
        <v>10</v>
      </c>
    </row>
    <row r="40" spans="1:7" x14ac:dyDescent="0.25">
      <c r="A40" s="2" t="str">
        <f t="shared" si="5"/>
        <v>Fr.</v>
      </c>
      <c r="B40" s="3">
        <v>46038</v>
      </c>
      <c r="C40" s="2" t="s">
        <v>50</v>
      </c>
      <c r="D40" s="4">
        <v>0.66666666666666663</v>
      </c>
      <c r="E40" s="4">
        <v>0.83333333333333337</v>
      </c>
      <c r="F40" s="12">
        <f>IF(E40&gt;D40,E40-D40,IF(ISNUMBER([1]!Stundenliste[[#This Row],[Von]]),"24:00"-(D40-E40),""))</f>
        <v>0.16666666666666674</v>
      </c>
      <c r="G40" s="2" t="s">
        <v>7</v>
      </c>
    </row>
    <row r="41" spans="1:7" x14ac:dyDescent="0.25">
      <c r="A41" s="2" t="str">
        <f t="shared" si="5"/>
        <v>Sa.</v>
      </c>
      <c r="B41" s="3">
        <v>46039</v>
      </c>
      <c r="C41" s="2" t="s">
        <v>52</v>
      </c>
      <c r="D41" s="4">
        <v>0.66666666666666663</v>
      </c>
      <c r="E41" s="4">
        <v>0.83333333333333337</v>
      </c>
      <c r="F41" s="12">
        <f>IF(E41&gt;D41,E41-D41,IF(ISNUMBER([1]!Stundenliste[[#This Row],[Von]]),"24:00"-(D41-E41),""))</f>
        <v>0.16666666666666674</v>
      </c>
      <c r="G41" s="2" t="s">
        <v>10</v>
      </c>
    </row>
    <row r="42" spans="1:7" x14ac:dyDescent="0.25">
      <c r="A42" s="2" t="str">
        <f>IF(ISNUMBER(B42),LEFT(TEXT(B42,"TTTT"),2)&amp;".","")</f>
        <v>Di.</v>
      </c>
      <c r="B42" s="3">
        <v>46042</v>
      </c>
      <c r="C42" s="2" t="s">
        <v>53</v>
      </c>
      <c r="D42" s="4">
        <v>0.91666666666666663</v>
      </c>
      <c r="E42" s="17">
        <v>1</v>
      </c>
      <c r="F42" s="12">
        <f>IF(E42&gt;D42,E42-D42,IF(ISNUMBER([1]!Stundenliste[[#This Row],[Von]]),"24:00"-(D42-E42),""))</f>
        <v>8.333333333333337E-2</v>
      </c>
      <c r="G42" s="2" t="s">
        <v>10</v>
      </c>
    </row>
    <row r="43" spans="1:7" x14ac:dyDescent="0.25">
      <c r="A43" s="2" t="str">
        <f>IF(ISNUMBER(B43),LEFT(TEXT(B43,"TTTT"),2)&amp;".","")</f>
        <v>Mi.</v>
      </c>
      <c r="B43" s="3">
        <v>46057</v>
      </c>
      <c r="C43" s="2" t="s">
        <v>54</v>
      </c>
      <c r="D43" s="4">
        <v>0.91666666666666663</v>
      </c>
      <c r="E43" s="17">
        <v>1</v>
      </c>
      <c r="F43" s="12">
        <f>IF(E43&gt;D43,E43-D43,IF(ISNUMBER([1]!Stundenliste[[#This Row],[Von]]),"24:00"-(D43-E43),""))</f>
        <v>8.333333333333337E-2</v>
      </c>
      <c r="G43" s="2" t="s">
        <v>10</v>
      </c>
    </row>
    <row r="44" spans="1:7" x14ac:dyDescent="0.25">
      <c r="A44" s="23" t="str">
        <f>IF(ISNUMBER(B44),LEFT(TEXT(B44,"TTTT"),2)&amp;".","")</f>
        <v>Sa.</v>
      </c>
      <c r="B44" s="3">
        <v>46067</v>
      </c>
      <c r="C44" s="23" t="s">
        <v>55</v>
      </c>
      <c r="D44" s="4">
        <v>0.66666666666666663</v>
      </c>
      <c r="E44" s="4">
        <v>0.875</v>
      </c>
      <c r="F44" s="12">
        <f>IF(E44&gt;D44,E44-D44,IF(ISNUMBER([1]!Stundenliste[[#This Row],[Von]]),"24:00"-(D44-E44),""))</f>
        <v>0.20833333333333337</v>
      </c>
      <c r="G44" s="2" t="s">
        <v>13</v>
      </c>
    </row>
    <row r="45" spans="1:7" x14ac:dyDescent="0.25">
      <c r="A45" s="23" t="str">
        <f>IF(ISNUMBER(B45),LEFT(TEXT(B45,"TTTT"),2)&amp;".","")</f>
        <v>Sa.</v>
      </c>
      <c r="B45" s="3">
        <v>46067</v>
      </c>
      <c r="C45" s="23" t="s">
        <v>56</v>
      </c>
      <c r="D45" s="4">
        <v>0.58333333333333337</v>
      </c>
      <c r="E45" s="4">
        <v>0.75</v>
      </c>
      <c r="F45" s="12">
        <f>IF(E45&gt;D45,E45-D45,IF(ISNUMBER([1]!Stundenliste[[#This Row],[Von]]),"24:00"-(D45-E45),""))</f>
        <v>0.16666666666666663</v>
      </c>
      <c r="G45" s="2" t="s">
        <v>9</v>
      </c>
    </row>
    <row r="46" spans="1:7" x14ac:dyDescent="0.25">
      <c r="A46" s="23" t="str">
        <f>IF(ISNUMBER(B46),LEFT(TEXT(B46,"TTTT"),2)&amp;".","")</f>
        <v>Mo.</v>
      </c>
      <c r="B46" s="3">
        <v>46062</v>
      </c>
      <c r="C46" s="23" t="s">
        <v>57</v>
      </c>
      <c r="D46" s="4">
        <v>0.70833333333333337</v>
      </c>
      <c r="E46" s="4">
        <v>0.75</v>
      </c>
      <c r="F46" s="12">
        <f>IF(E46&gt;D46,E46-D46,IF(ISNUMBER([1]!Stundenliste[[#This Row],[Von]]),"24:00"-(D46-E46),""))</f>
        <v>4.166666666666663E-2</v>
      </c>
      <c r="G46" s="2" t="s">
        <v>10</v>
      </c>
    </row>
  </sheetData>
  <pageMargins left="0.7" right="0.7" top="0.78740157499999996" bottom="0.78740157499999996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F6A9684FA57F34CA0CFF8DECC7C89F4" ma:contentTypeVersion="4" ma:contentTypeDescription="Ein neues Dokument erstellen." ma:contentTypeScope="" ma:versionID="b2ec2b65d3d5b16c44b9b6a36409c0c6">
  <xsd:schema xmlns:xsd="http://www.w3.org/2001/XMLSchema" xmlns:xs="http://www.w3.org/2001/XMLSchema" xmlns:p="http://schemas.microsoft.com/office/2006/metadata/properties" xmlns:ns2="d9f85066-e658-4e34-914c-f198c2427564" targetNamespace="http://schemas.microsoft.com/office/2006/metadata/properties" ma:root="true" ma:fieldsID="5b8d1bb51b8c1f0753974a44edfe3f74" ns2:_="">
    <xsd:import namespace="d9f85066-e658-4e34-914c-f198c242756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f85066-e658-4e34-914c-f198c242756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9f85066-e658-4e34-914c-f198c2427564" xsi:nil="true"/>
  </documentManagement>
</p:properties>
</file>

<file path=customXml/itemProps1.xml><?xml version="1.0" encoding="utf-8"?>
<ds:datastoreItem xmlns:ds="http://schemas.openxmlformats.org/officeDocument/2006/customXml" ds:itemID="{834A42BE-934C-42D8-9F79-C190EDC62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f85066-e658-4e34-914c-f198c24275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879EED-63D4-4BD6-ABDC-8DEB19CAAE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E083A2-B59E-4178-BBDB-6F72551558F7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33483e06-99ee-4919-8fc9-f487e9b68a5e"/>
    <ds:schemaRef ds:uri="http://schemas.microsoft.com/office/infopath/2007/PartnerControls"/>
    <ds:schemaRef ds:uri="http://schemas.openxmlformats.org/package/2006/metadata/core-properties"/>
    <ds:schemaRef ds:uri="becce21f-4543-4ee3-84d8-746b4cf7c34b"/>
    <ds:schemaRef ds:uri="d9f85066-e658-4e34-914c-f198c24275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Niklas Studener</cp:lastModifiedBy>
  <cp:revision/>
  <cp:lastPrinted>2026-01-09T07:41:25Z</cp:lastPrinted>
  <dcterms:created xsi:type="dcterms:W3CDTF">2022-09-30T10:08:24Z</dcterms:created>
  <dcterms:modified xsi:type="dcterms:W3CDTF">2026-02-14T19:34:47Z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0x0101001F6A9684FA57F34CA0CFF8DECC7C89F4</vt:lpwstr>
  </property>
  <property fmtid="{D5CDD505-2E9C-101B-9397-08002B2CF9AE}" pid="3" name="MediaServiceImageTags">
    <vt:lpwstr/>
  </property>
</Properties>
</file>