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Arthur\Downloads\"/>
    </mc:Choice>
  </mc:AlternateContent>
  <xr:revisionPtr revIDLastSave="0" documentId="13_ncr:1_{4AC00E6F-688B-4A48-8236-FE98741625B4}" xr6:coauthVersionLast="47" xr6:coauthVersionMax="47" xr10:uidLastSave="{00000000-0000-0000-0000-000000000000}"/>
  <bookViews>
    <workbookView xWindow="4650" yWindow="4350" windowWidth="28800" windowHeight="15435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1" l="1"/>
  <c r="F81" i="1"/>
  <c r="A80" i="1"/>
  <c r="F80" i="1"/>
  <c r="A79" i="1"/>
  <c r="F79" i="1"/>
  <c r="A78" i="1"/>
  <c r="F78" i="1"/>
  <c r="A74" i="1"/>
  <c r="F74" i="1"/>
  <c r="A75" i="1"/>
  <c r="F75" i="1"/>
  <c r="A76" i="1"/>
  <c r="F76" i="1"/>
  <c r="A77" i="1"/>
  <c r="F77" i="1"/>
  <c r="A73" i="1"/>
  <c r="F73" i="1"/>
  <c r="A72" i="1"/>
  <c r="F72" i="1"/>
  <c r="A71" i="1"/>
  <c r="F71" i="1"/>
  <c r="A67" i="1"/>
  <c r="F67" i="1"/>
  <c r="A69" i="1"/>
  <c r="F69" i="1"/>
  <c r="A68" i="1"/>
  <c r="F68" i="1"/>
  <c r="A70" i="1"/>
  <c r="F70" i="1"/>
  <c r="A66" i="1"/>
  <c r="F66" i="1"/>
  <c r="A65" i="1"/>
  <c r="F65" i="1"/>
  <c r="A64" i="1"/>
  <c r="F64" i="1"/>
  <c r="A63" i="1"/>
  <c r="F63" i="1"/>
  <c r="A23" i="1"/>
  <c r="F23" i="1"/>
  <c r="A25" i="1"/>
  <c r="F25" i="1"/>
  <c r="A18" i="1"/>
  <c r="F18" i="1"/>
  <c r="A17" i="1"/>
  <c r="F17" i="1"/>
  <c r="A15" i="1"/>
  <c r="A16" i="1"/>
  <c r="F15" i="1"/>
  <c r="F16" i="1"/>
  <c r="A61" i="1"/>
  <c r="F61" i="1"/>
  <c r="A62" i="1"/>
  <c r="F62" i="1"/>
  <c r="A14" i="1"/>
  <c r="F14" i="1"/>
  <c r="A60" i="1"/>
  <c r="F60" i="1"/>
  <c r="A59" i="1"/>
  <c r="F59" i="1"/>
  <c r="A58" i="1"/>
  <c r="F58" i="1"/>
  <c r="A57" i="1"/>
  <c r="F57" i="1"/>
  <c r="F2" i="1"/>
  <c r="F3" i="1"/>
  <c r="F4" i="1"/>
  <c r="F5" i="1"/>
  <c r="F6" i="1"/>
  <c r="F7" i="1"/>
  <c r="F8" i="1"/>
  <c r="F9" i="1"/>
  <c r="F10" i="1"/>
  <c r="F11" i="1"/>
  <c r="F12" i="1"/>
  <c r="F13" i="1"/>
  <c r="F19" i="1"/>
  <c r="F20" i="1"/>
  <c r="F21" i="1"/>
  <c r="F22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9" i="1"/>
  <c r="F46" i="1"/>
  <c r="F47" i="1"/>
  <c r="F48" i="1"/>
  <c r="F50" i="1"/>
  <c r="F52" i="1"/>
  <c r="F53" i="1"/>
  <c r="F51" i="1"/>
  <c r="F54" i="1"/>
  <c r="F55" i="1"/>
  <c r="F56" i="1"/>
  <c r="M7" i="1" l="1"/>
  <c r="A54" i="1"/>
  <c r="A55" i="1"/>
  <c r="A56" i="1"/>
  <c r="A51" i="1"/>
  <c r="A53" i="1"/>
  <c r="A52" i="1"/>
  <c r="A50" i="1"/>
  <c r="A48" i="1"/>
  <c r="A49" i="1"/>
  <c r="P6" i="1"/>
  <c r="Q6" i="1" s="1"/>
  <c r="A42" i="1"/>
  <c r="A10" i="1"/>
  <c r="J9" i="1"/>
  <c r="A41" i="1"/>
  <c r="A28" i="1"/>
  <c r="A43" i="1"/>
  <c r="A44" i="1"/>
  <c r="A45" i="1"/>
  <c r="A46" i="1"/>
  <c r="A47" i="1"/>
  <c r="J3" i="1"/>
  <c r="J5" i="1"/>
  <c r="J8" i="1"/>
  <c r="A31" i="1"/>
  <c r="J4" i="1" l="1"/>
  <c r="J7" i="1"/>
  <c r="J11" i="1"/>
  <c r="M3" i="1" l="1"/>
  <c r="A7" i="1"/>
  <c r="A19" i="1"/>
  <c r="A35" i="1"/>
  <c r="A13" i="1"/>
  <c r="A37" i="1"/>
  <c r="A22" i="1"/>
  <c r="A40" i="1"/>
  <c r="A30" i="1"/>
  <c r="A32" i="1"/>
  <c r="A36" i="1"/>
  <c r="A38" i="1"/>
  <c r="A39" i="1"/>
  <c r="A27" i="1"/>
  <c r="A29" i="1"/>
  <c r="A26" i="1"/>
  <c r="A24" i="1"/>
  <c r="A21" i="1"/>
  <c r="A34" i="1"/>
  <c r="A8" i="1"/>
  <c r="A20" i="1"/>
  <c r="A33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<sst xmlns="http://schemas.openxmlformats.org/spreadsheetml/2006/main" count="186" uniqueCount="92">
  <si>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</si>
  <si>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</si>
  <si>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</si>
  <si>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</si>
  <si>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</si>
  <si>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</si>
  <si>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</si>
  <si>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</si>
  <si>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</si>
  <si>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</si>
  <si>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</si>
  <si>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</si>
  <si>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</si>
  <si>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</si>
  <si>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</si>
  <si>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</si>
  <si>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</si>
  <si>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</si>
  <si>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</si>
  <si>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</si>
  <si>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</si>
  <si>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</si>
  <si>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</si>
  <si>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</si>
  <si>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</si>
  <si>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</si>
  <si>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</si>
  <si>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</si>
  <si>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</si>
  <si>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</si>
  <si>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</si>
  <si>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</si>
  <si>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</si>
  <si>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</si>
  <si>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</si>
  <si>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</si>
  <si>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</si>
  <si>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</si>
  <si>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</si>
  <si>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</si>
  <si>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</si>
  <si>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</si>
  <si>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</si>
  <si>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</si>
  <si>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</si>
  <si>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</si>
  <si>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</si>
  <si>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</si>
  <si>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</si>
  <si>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</si>
  <si>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</si>
  <si>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</si>
  <si>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</si>
  <si>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</si>
  <si>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</si>
  <si>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</si>
  <si>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</si>
  <si>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</si>
  <si>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</si>
  <si>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</si>
  <si>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</si>
  <si>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</si>
  <si>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</si>
  <si>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</si>
  <si>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</si>
  <si>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</si>
  <si>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</si>
  <si>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</si>
  <si>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</si>
  <si>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</si>
  <si>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</si>
  <si>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</si>
  <si>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</si>
  <si>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</si>
  <si>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</si>
  <si>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</si>
  <si>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</si>
  <si>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</si>
  <si>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</si>
  <si>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</si>
  <si>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</si>
  <si>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</si>
  <si>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</si>
  <si>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</si>
  <si>
    <t>Auto Szene repariert + erweitert</t>
  </si>
  <si>
    <t>Müllberg-Szene begonnen</t>
  </si>
  <si>
    <t>Auto Szene repariert</t>
  </si>
  <si>
    <t>Müllberg-Szene, Auto-Szene</t>
  </si>
  <si>
    <t>Fehlerbeheben (Debugging)</t>
  </si>
  <si>
    <t>Stundenliste aktualisieren</t>
  </si>
  <si>
    <t>Zeitmanagement</t>
  </si>
  <si>
    <t xml:space="preserve">Kleinere Fehler behoben; Diplo Leveldesign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</si>
</sst>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Normal" xfId="0" builtinId="0"/>
    <cellStyle name="Percent" xfId="1" builtinId="5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0.83333333333332915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0.71820175438596112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0.68256578947368052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81" totalsRowShown="0" headerRowDxfId="16" dataDxfId="15">
  <autoFilter ref="A1:G81" xr:uid="{730AE997-56E9-481C-8C9C-45C7D9E3EFFC}"/>
  <sortState xmlns:xlrd2="http://schemas.microsoft.com/office/spreadsheetml/2017/richdata2" ref="A2:G80">
    <sortCondition ref="B1:B80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81"/>
  <sheetViews>
    <sheetView tabSelected="1" topLeftCell="A49" zoomScaleNormal="100" workbookViewId="0">
      <selection activeCell="K75" sqref="K75"/>
    </sheetView>
  </sheetViews>
  <sheetFormatPr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3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1.520833333333333</v>
      </c>
      <c r="L3" t="s">
        <v>10</v>
      </c>
      <c r="M3" s="11">
        <f>SUM(J4,J7,J8,J11)</f>
        <v>6.3333333333333339</v>
      </c>
      <c r="N3" s="18">
        <f>M3</f>
        <v>6.3333333333333339</v>
      </c>
      <c r="O3" s="18">
        <f>N3/60</f>
        <v>0.10555555555555557</v>
      </c>
      <c r="P3" s="22">
        <f t="shared" ref="P3:P6" si="1">(O3/180)*100</f>
        <v>5.8641975308641986E-2</v>
      </c>
      <c r="Q3" s="21">
        <f>(P3*1421.05263157894)/100</f>
        <v>0.83333333333332915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1.8750000000000004</v>
      </c>
      <c r="L4" t="s">
        <v>11</v>
      </c>
      <c r="M4" s="11">
        <f>SUM(J5,J8,J9,J11)</f>
        <v>5.458333333333333</v>
      </c>
      <c r="N4" s="18">
        <f t="shared" ref="N4:N5" si="2">M4</f>
        <v>5.458333333333333</v>
      </c>
      <c r="O4" s="18">
        <f t="shared" ref="O4:O5" si="3">N4/60</f>
        <v>9.0972222222222218E-2</v>
      </c>
      <c r="P4" s="22">
        <f t="shared" si="1"/>
        <v>5.0540123456790119E-2</v>
      </c>
      <c r="Q4" s="21">
        <f t="shared" ref="Q4:Q5" si="4">(P4*1421.05263157894)/100</f>
        <v>0.71820175438596112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1.7708333333333335</v>
      </c>
      <c r="L5" t="s">
        <v>9</v>
      </c>
      <c r="M5" s="11">
        <f>SUM(J3,J7,J9,J11)</f>
        <v>5.1874999999999991</v>
      </c>
      <c r="N5" s="18">
        <f t="shared" si="2"/>
        <v>5.1874999999999991</v>
      </c>
      <c r="O5" s="18">
        <f t="shared" si="3"/>
        <v>8.6458333333333318E-2</v>
      </c>
      <c r="P5" s="22">
        <f t="shared" si="1"/>
        <v>4.8032407407407399E-2</v>
      </c>
      <c r="Q5" s="21">
        <f t="shared" si="4"/>
        <v>0.68256578947368052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SUM(F2:F81)</f>
        <v>9.6250000000000053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0.79166666666666674</v>
      </c>
      <c r="M8" s="16">
        <f>TEXT(M7,"[h]")+TEXT(M7,"mm")/60</f>
        <v>231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2.895833333333333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Mo.</v>
      </c>
      <c r="B14" s="3">
        <v>45957</v>
      </c>
      <c r="C14" s="2" t="s">
        <v>65</v>
      </c>
      <c r="D14" s="4">
        <v>0.41666666666666669</v>
      </c>
      <c r="E14" s="4">
        <v>0.54166666666666663</v>
      </c>
      <c r="F14" s="5">
        <f>IF(E14&gt;D14,E14-D14,IF(ISNUMBER(Stundenliste[[#This Row],[Von]]),"24:00"-(D14-E14),""))</f>
        <v>0.12499999999999994</v>
      </c>
      <c r="G14" s="2" t="s">
        <v>11</v>
      </c>
      <c r="I14" s="14"/>
      <c r="J14" s="9"/>
      <c r="K14" s="2"/>
    </row>
    <row r="15" spans="1:17" x14ac:dyDescent="0.25">
      <c r="A15" s="2" t="str">
        <f t="shared" si="0"/>
        <v>Mi.</v>
      </c>
      <c r="B15" s="3">
        <v>45959</v>
      </c>
      <c r="C15" s="2" t="s">
        <v>66</v>
      </c>
      <c r="D15" s="4">
        <v>0.66666666666666663</v>
      </c>
      <c r="E15" s="4">
        <v>0.83333333333333337</v>
      </c>
      <c r="F15" s="5">
        <f>IF(E15&gt;D15,E15-D15,IF(ISNUMBER(Stundenliste[[#This Row],[Von]]),"24:00"-(D15-E15),""))</f>
        <v>0.16666666666666674</v>
      </c>
      <c r="G15" s="2" t="s">
        <v>11</v>
      </c>
    </row>
    <row r="16" spans="1:17" x14ac:dyDescent="0.25">
      <c r="A16" s="2" t="str">
        <f t="shared" si="0"/>
        <v>Do.</v>
      </c>
      <c r="B16" s="3">
        <v>45960</v>
      </c>
      <c r="C16" s="2" t="s">
        <v>67</v>
      </c>
      <c r="D16" s="4">
        <v>0.83333333333333337</v>
      </c>
      <c r="E16" s="4">
        <v>0.91666666666666663</v>
      </c>
      <c r="F16" s="5">
        <f>IF(E16&gt;D16,E16-D16,IF(ISNUMBER(Stundenliste[[#This Row],[Von]]),"24:00"-(D16-E16),""))</f>
        <v>8.3333333333333259E-2</v>
      </c>
      <c r="G16" s="2" t="s">
        <v>11</v>
      </c>
    </row>
    <row r="17" spans="1:7" x14ac:dyDescent="0.25">
      <c r="A17" s="2" t="str">
        <f t="shared" si="0"/>
        <v>Sa.</v>
      </c>
      <c r="B17" s="3">
        <v>45962</v>
      </c>
      <c r="C17" s="2" t="s">
        <v>68</v>
      </c>
      <c r="D17" s="4">
        <v>0.79166666666666663</v>
      </c>
      <c r="E17" s="4">
        <v>0.875</v>
      </c>
      <c r="F17" s="5">
        <f>IF(E17&gt;D17,E17-D17,IF(ISNUMBER(Stundenliste[[#This Row],[Von]]),"24:00"-(D17-E17),""))</f>
        <v>8.333333333333337E-2</v>
      </c>
      <c r="G17" s="2" t="s">
        <v>11</v>
      </c>
    </row>
    <row r="18" spans="1:7" x14ac:dyDescent="0.25">
      <c r="A18" s="2" t="str">
        <f t="shared" si="0"/>
        <v>So.</v>
      </c>
      <c r="B18" s="3">
        <v>45963</v>
      </c>
      <c r="C18" s="2" t="s">
        <v>69</v>
      </c>
      <c r="D18" s="4">
        <v>0.83333333333333337</v>
      </c>
      <c r="E18" s="4">
        <v>0.91666666666666663</v>
      </c>
      <c r="F18" s="5">
        <f>IF(E18&gt;D18,E18-D18,IF(ISNUMBER(Stundenliste[[#This Row],[Von]]),"24:00"-(D18-E18),""))</f>
        <v>8.3333333333333259E-2</v>
      </c>
      <c r="G18" s="2" t="s">
        <v>11</v>
      </c>
    </row>
    <row r="19" spans="1:7" x14ac:dyDescent="0.25">
      <c r="A19" s="2" t="str">
        <f t="shared" si="0"/>
        <v>Fr.</v>
      </c>
      <c r="B19" s="3">
        <v>45968</v>
      </c>
      <c r="C19" s="2" t="s">
        <v>36</v>
      </c>
      <c r="D19" s="4">
        <v>0.625</v>
      </c>
      <c r="E19" s="4">
        <v>0.70833333333333337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Sa.</v>
      </c>
      <c r="B20" s="3">
        <v>45969</v>
      </c>
      <c r="C20" s="2" t="s">
        <v>29</v>
      </c>
      <c r="D20" s="4">
        <v>0.58333333333333337</v>
      </c>
      <c r="E20" s="4">
        <v>0.91666666666666663</v>
      </c>
      <c r="F20" s="12">
        <f>IF(E20&gt;D20,E20-D20,IF(ISNUMBER(Stundenliste[[#This Row],[Von]]),"24:00"-(D20-E20),""))</f>
        <v>0.33333333333333326</v>
      </c>
      <c r="G20" s="2" t="s">
        <v>9</v>
      </c>
    </row>
    <row r="21" spans="1:7" x14ac:dyDescent="0.25">
      <c r="A21" s="2" t="str">
        <f t="shared" si="0"/>
        <v>Sa.</v>
      </c>
      <c r="B21" s="3">
        <v>45969</v>
      </c>
      <c r="C21" s="2" t="s">
        <v>29</v>
      </c>
      <c r="D21" s="4">
        <v>0.58333333333333337</v>
      </c>
      <c r="E21" s="4">
        <v>0.83333333333333337</v>
      </c>
      <c r="F21" s="12">
        <f>IF(E21&gt;D21,E21-D21,IF(ISNUMBER(Stundenliste[[#This Row],[Von]]),"24:00"-(D21-E21),""))</f>
        <v>0.25</v>
      </c>
      <c r="G21" s="2" t="s">
        <v>13</v>
      </c>
    </row>
    <row r="22" spans="1:7" x14ac:dyDescent="0.25">
      <c r="A22" s="2" t="str">
        <f t="shared" si="0"/>
        <v>Mi.</v>
      </c>
      <c r="B22" s="3">
        <v>45973</v>
      </c>
      <c r="C22" s="2" t="s">
        <v>35</v>
      </c>
      <c r="D22" s="4">
        <v>0.49305555555555558</v>
      </c>
      <c r="E22" s="4">
        <v>0.52777777777777779</v>
      </c>
      <c r="F22" s="12">
        <f>IF(E22&gt;D22,E22-D22,IF(ISNUMBER(Stundenliste[[#This Row],[Von]]),"24:00"-(D22-E22),""))</f>
        <v>3.472222222222221E-2</v>
      </c>
      <c r="G22" s="2" t="s">
        <v>7</v>
      </c>
    </row>
    <row r="23" spans="1:7" x14ac:dyDescent="0.25">
      <c r="A23" s="2" t="str">
        <f t="shared" si="0"/>
        <v>Do.</v>
      </c>
      <c r="B23" s="3">
        <v>45974</v>
      </c>
      <c r="C23" s="2" t="s">
        <v>71</v>
      </c>
      <c r="D23" s="4">
        <v>0.625</v>
      </c>
      <c r="E23" s="4">
        <v>0.75</v>
      </c>
      <c r="F23" s="5">
        <f>IF(E23&gt;D23,E23-D23,IF(ISNUMBER(Stundenliste[[#This Row],[Von]]),"24:00"-(D23-E23),""))</f>
        <v>0.125</v>
      </c>
      <c r="G23" s="2" t="s">
        <v>11</v>
      </c>
    </row>
    <row r="24" spans="1:7" x14ac:dyDescent="0.25">
      <c r="A24" s="2" t="str">
        <f t="shared" si="0"/>
        <v>Mi.</v>
      </c>
      <c r="B24" s="3">
        <v>45980</v>
      </c>
      <c r="C24" s="2" t="s">
        <v>30</v>
      </c>
      <c r="D24" s="4">
        <v>0.70833333333333304</v>
      </c>
      <c r="E24" s="4">
        <v>0.79166666666666663</v>
      </c>
      <c r="F24" s="12">
        <f>IF(E24&gt;D24,E24-D24,IF(ISNUMBER(Stundenliste[[#This Row],[Von]]),"24:00"-(D24-E24),""))</f>
        <v>8.3333333333333592E-2</v>
      </c>
      <c r="G24" s="2" t="s">
        <v>7</v>
      </c>
    </row>
    <row r="25" spans="1:7" x14ac:dyDescent="0.25">
      <c r="A25" s="2" t="str">
        <f t="shared" si="0"/>
        <v>Mi.</v>
      </c>
      <c r="B25" s="3">
        <v>45980</v>
      </c>
      <c r="C25" s="2" t="s">
        <v>70</v>
      </c>
      <c r="D25" s="4">
        <v>0.70833333333333337</v>
      </c>
      <c r="E25" s="4">
        <v>0.79166666666666663</v>
      </c>
      <c r="F25" s="5">
        <f>IF(E25&gt;D25,E25-D25,IF(ISNUMBER(Stundenliste[[#This Row],[Von]]),"24:00"-(D25-E25),""))</f>
        <v>8.3333333333333259E-2</v>
      </c>
      <c r="G25" s="2" t="s">
        <v>11</v>
      </c>
    </row>
    <row r="26" spans="1:7" x14ac:dyDescent="0.25">
      <c r="A26" s="2" t="str">
        <f t="shared" si="0"/>
        <v>Do.</v>
      </c>
      <c r="B26" s="3">
        <v>45981</v>
      </c>
      <c r="C26" s="2" t="s">
        <v>30</v>
      </c>
      <c r="D26" s="4">
        <v>0.66666666666666663</v>
      </c>
      <c r="E26" s="4">
        <v>0.75</v>
      </c>
      <c r="F26" s="12">
        <f>IF(E26&gt;D26,E26-D26,IF(ISNUMBER(Stundenliste[[#This Row],[Von]]),"24:00"-(D26-E26),""))</f>
        <v>8.333333333333337E-2</v>
      </c>
      <c r="G26" s="2" t="s">
        <v>7</v>
      </c>
    </row>
    <row r="27" spans="1:7" x14ac:dyDescent="0.25">
      <c r="A27" s="2" t="str">
        <f t="shared" si="0"/>
        <v>Fr.</v>
      </c>
      <c r="B27" s="3">
        <v>45982</v>
      </c>
      <c r="C27" s="2" t="s">
        <v>28</v>
      </c>
      <c r="D27" s="4">
        <v>0.5</v>
      </c>
      <c r="E27" s="4">
        <v>0.625</v>
      </c>
      <c r="F27" s="12">
        <f>IF(E27&gt;D27,E27-D27,IF(ISNUMBER(Stundenliste[[#This Row],[Von]]),"24:00"-(D27-E27),""))</f>
        <v>0.125</v>
      </c>
      <c r="G27" s="2" t="s">
        <v>7</v>
      </c>
    </row>
    <row r="28" spans="1:7" x14ac:dyDescent="0.25">
      <c r="A28" s="2" t="str">
        <f t="shared" si="0"/>
        <v>Fr.</v>
      </c>
      <c r="B28" s="3">
        <v>45982</v>
      </c>
      <c r="C28" s="2" t="s">
        <v>40</v>
      </c>
      <c r="D28" s="4">
        <v>0.58333333333333337</v>
      </c>
      <c r="E28" s="4">
        <v>0.66666666666666663</v>
      </c>
      <c r="F28" s="12">
        <f>IF(E28&gt;D28,E28-D28,IF(ISNUMBER(Stundenliste[[#This Row],[Von]]),"24:00"-(D28-E28),""))</f>
        <v>8.3333333333333259E-2</v>
      </c>
      <c r="G28" s="2" t="s">
        <v>7</v>
      </c>
    </row>
    <row r="29" spans="1:7" x14ac:dyDescent="0.25">
      <c r="A29" s="2" t="str">
        <f t="shared" si="0"/>
        <v>Sa.</v>
      </c>
      <c r="B29" s="3">
        <v>45983</v>
      </c>
      <c r="C29" s="2" t="s">
        <v>28</v>
      </c>
      <c r="D29" s="4">
        <v>0.33333333333333331</v>
      </c>
      <c r="E29" s="4">
        <v>0.45833333333333331</v>
      </c>
      <c r="F29" s="12">
        <f>IF(E29&gt;D29,E29-D29,IF(ISNUMBER(Stundenliste[[#This Row],[Von]]),"24:00"-(D29-E29),""))</f>
        <v>0.125</v>
      </c>
      <c r="G29" s="2" t="s">
        <v>7</v>
      </c>
    </row>
    <row r="30" spans="1:7" x14ac:dyDescent="0.25">
      <c r="A30" s="2" t="str">
        <f t="shared" si="0"/>
        <v>Sa.</v>
      </c>
      <c r="B30" s="3">
        <v>45990</v>
      </c>
      <c r="C30" s="2" t="s">
        <v>33</v>
      </c>
      <c r="D30" s="4">
        <v>0.83333333333333337</v>
      </c>
      <c r="E30" s="17">
        <v>1</v>
      </c>
      <c r="F30" s="12">
        <f>IF(E30&gt;D30,E30-D30,IF(ISNUMBER(Stundenliste[[#This Row],[Von]]),"24:00"-(D30-E30),""))</f>
        <v>0.16666666666666663</v>
      </c>
      <c r="G30" s="2" t="s">
        <v>10</v>
      </c>
    </row>
    <row r="31" spans="1:7" x14ac:dyDescent="0.25">
      <c r="A31" s="2" t="str">
        <f t="shared" si="0"/>
        <v>Fr.</v>
      </c>
      <c r="B31" s="3">
        <v>45996</v>
      </c>
      <c r="C31" s="2" t="s">
        <v>38</v>
      </c>
      <c r="D31" s="4">
        <v>0.70833333333333337</v>
      </c>
      <c r="E31" s="4">
        <v>0.79166666666666663</v>
      </c>
      <c r="F31" s="12">
        <f>IF(E31&gt;D31,E31-D31,IF(ISNUMBER(Stundenliste[[#This Row],[Von]]),"24:00"-(D31-E31),""))</f>
        <v>8.3333333333333259E-2</v>
      </c>
      <c r="G31" s="2" t="s">
        <v>10</v>
      </c>
    </row>
    <row r="32" spans="1:7" x14ac:dyDescent="0.25">
      <c r="A32" s="2" t="str">
        <f t="shared" si="0"/>
        <v>Mo.</v>
      </c>
      <c r="B32" s="3">
        <v>45999</v>
      </c>
      <c r="C32" s="2" t="s">
        <v>32</v>
      </c>
      <c r="D32" s="4">
        <v>0.45833333333333331</v>
      </c>
      <c r="E32" s="4">
        <v>0.49305555555555558</v>
      </c>
      <c r="F32" s="12">
        <f>IF(E32&gt;D32,E32-D32,IF(ISNUMBER(Stundenliste[[#This Row],[Von]]),"24:00"-(D32-E32),""))</f>
        <v>3.4722222222222265E-2</v>
      </c>
      <c r="G32" s="2" t="s">
        <v>7</v>
      </c>
    </row>
    <row r="33" spans="1:7" x14ac:dyDescent="0.25">
      <c r="A33" s="2" t="str">
        <f t="shared" si="0"/>
        <v>Mi.</v>
      </c>
      <c r="B33" s="3">
        <v>46001</v>
      </c>
      <c r="C33" s="2" t="s">
        <v>25</v>
      </c>
      <c r="D33" s="4">
        <v>0.52777777777777779</v>
      </c>
      <c r="E33" s="4">
        <v>0.67361111111111116</v>
      </c>
      <c r="F33" s="12">
        <f>IF(E33&gt;D33,E33-D33,IF(ISNUMBER(Stundenliste[[#This Row],[Von]]),"24:00"-(D33-E33),""))</f>
        <v>0.14583333333333337</v>
      </c>
      <c r="G33" s="2" t="s">
        <v>12</v>
      </c>
    </row>
    <row r="34" spans="1:7" x14ac:dyDescent="0.25">
      <c r="A34" s="2" t="str">
        <f t="shared" ref="A34:A65" si="5">IF(ISNUMBER(B34),LEFT(TEXT(B34,"TTTT"),2)&amp;".","")</f>
        <v>Mi.</v>
      </c>
      <c r="B34" s="3">
        <v>46001</v>
      </c>
      <c r="C34" s="2" t="s">
        <v>25</v>
      </c>
      <c r="D34" s="9">
        <v>0.58333333333333304</v>
      </c>
      <c r="E34" s="4">
        <v>0.67361111111111116</v>
      </c>
      <c r="F34" s="12">
        <f>IF(E34&gt;D34,E34-D34,IF(ISNUMBER(Stundenliste[[#This Row],[Von]]),"24:00"-(D34-E34),""))</f>
        <v>9.0277777777778123E-2</v>
      </c>
      <c r="G34" s="2" t="s">
        <v>11</v>
      </c>
    </row>
    <row r="35" spans="1:7" x14ac:dyDescent="0.25">
      <c r="A35" s="2" t="str">
        <f t="shared" si="5"/>
        <v>Mi.</v>
      </c>
      <c r="B35" s="3">
        <v>46001</v>
      </c>
      <c r="C35" s="2" t="s">
        <v>35</v>
      </c>
      <c r="D35" s="4">
        <v>0.49305555555555558</v>
      </c>
      <c r="E35" s="4">
        <v>0.52777777777777779</v>
      </c>
      <c r="F35" s="12">
        <f>IF(E35&gt;D35,E35-D35,IF(ISNUMBER(Stundenliste[[#This Row],[Von]]),"24:00"-(D35-E35),""))</f>
        <v>3.472222222222221E-2</v>
      </c>
      <c r="G35" s="2" t="s">
        <v>7</v>
      </c>
    </row>
    <row r="36" spans="1:7" x14ac:dyDescent="0.25">
      <c r="A36" s="2" t="str">
        <f t="shared" si="5"/>
        <v>Mo.</v>
      </c>
      <c r="B36" s="3">
        <v>46013</v>
      </c>
      <c r="C36" s="2" t="s">
        <v>31</v>
      </c>
      <c r="D36" s="4">
        <v>0.58333333333333337</v>
      </c>
      <c r="E36" s="4">
        <v>0.67361111111111116</v>
      </c>
      <c r="F36" s="12">
        <f>IF(E36&gt;D36,E36-D36,IF(ISNUMBER(Stundenliste[[#This Row],[Von]]),"24:00"-(D36-E36),""))</f>
        <v>9.027777777777779E-2</v>
      </c>
      <c r="G36" s="2" t="s">
        <v>7</v>
      </c>
    </row>
    <row r="37" spans="1:7" x14ac:dyDescent="0.25">
      <c r="A37" s="2" t="str">
        <f t="shared" si="5"/>
        <v>Mo.</v>
      </c>
      <c r="B37" s="3">
        <v>46013</v>
      </c>
      <c r="C37" s="2" t="s">
        <v>35</v>
      </c>
      <c r="D37" s="4">
        <v>0.49305555555555558</v>
      </c>
      <c r="E37" s="4">
        <v>0.52777777777777779</v>
      </c>
      <c r="F37" s="12">
        <f>IF(E37&gt;D37,E37-D37,IF(ISNUMBER(Stundenliste[[#This Row],[Von]]),"24:00"-(D37-E37),""))</f>
        <v>3.472222222222221E-2</v>
      </c>
      <c r="G37" s="2" t="s">
        <v>7</v>
      </c>
    </row>
    <row r="38" spans="1:7" x14ac:dyDescent="0.25">
      <c r="A38" s="2" t="str">
        <f t="shared" si="5"/>
        <v>Fr.</v>
      </c>
      <c r="B38" s="3">
        <v>46017</v>
      </c>
      <c r="C38" s="2" t="s">
        <v>26</v>
      </c>
      <c r="D38" s="4">
        <v>0.75</v>
      </c>
      <c r="E38" s="4">
        <v>1</v>
      </c>
      <c r="F38" s="12">
        <f>IF(E38&gt;D38,E38-D38,IF(ISNUMBER(Stundenliste[[#This Row],[Von]]),"24:00"-(D38-E38),""))</f>
        <v>0.25</v>
      </c>
      <c r="G38" s="2" t="s">
        <v>10</v>
      </c>
    </row>
    <row r="39" spans="1:7" x14ac:dyDescent="0.25">
      <c r="A39" s="2" t="str">
        <f t="shared" si="5"/>
        <v>Fr.</v>
      </c>
      <c r="B39" s="3">
        <v>46017</v>
      </c>
      <c r="C39" s="2" t="s">
        <v>27</v>
      </c>
      <c r="D39" s="4">
        <v>0.77083333333333337</v>
      </c>
      <c r="E39" s="4">
        <v>0.9375</v>
      </c>
      <c r="F39" s="12">
        <f>IF(E39&gt;D39,E39-D39,IF(ISNUMBER(Stundenliste[[#This Row],[Von]]),"24:00"-(D39-E39),""))</f>
        <v>0.16666666666666663</v>
      </c>
      <c r="G39" s="2" t="s">
        <v>9</v>
      </c>
    </row>
    <row r="40" spans="1:7" x14ac:dyDescent="0.25">
      <c r="A40" s="2" t="str">
        <f t="shared" si="5"/>
        <v>Mo.</v>
      </c>
      <c r="B40" s="3">
        <v>46020</v>
      </c>
      <c r="C40" s="2" t="s">
        <v>34</v>
      </c>
      <c r="D40" s="4">
        <v>0.5</v>
      </c>
      <c r="E40" s="4">
        <v>0.60416666666666663</v>
      </c>
      <c r="F40" s="12">
        <f>IF(E40&gt;D40,E40-D40,IF(ISNUMBER(Stundenliste[[#This Row],[Von]]),"24:00"-(D40-E40),""))</f>
        <v>0.10416666666666663</v>
      </c>
      <c r="G40" s="2" t="s">
        <v>9</v>
      </c>
    </row>
    <row r="41" spans="1:7" x14ac:dyDescent="0.25">
      <c r="A41" s="2" t="str">
        <f t="shared" si="5"/>
        <v>Mo.</v>
      </c>
      <c r="B41" s="3">
        <v>46020</v>
      </c>
      <c r="C41" s="2" t="s">
        <v>34</v>
      </c>
      <c r="D41" s="4">
        <v>0.5</v>
      </c>
      <c r="E41" s="4">
        <v>0.75</v>
      </c>
      <c r="F41" s="12">
        <f>IF(E41&gt;D41,E41-D41,IF(ISNUMBER(Stundenliste[[#This Row],[Von]]),"24:00"-(D41-E41),""))</f>
        <v>0.25</v>
      </c>
      <c r="G41" s="2" t="s">
        <v>13</v>
      </c>
    </row>
    <row r="42" spans="1:7" x14ac:dyDescent="0.25">
      <c r="A42" s="2" t="str">
        <f t="shared" si="5"/>
        <v>Fr.</v>
      </c>
      <c r="B42" s="3">
        <v>46024</v>
      </c>
      <c r="C42" s="2" t="s">
        <v>44</v>
      </c>
      <c r="D42" s="4">
        <v>0.5</v>
      </c>
      <c r="E42" s="4">
        <v>0.58333333333333337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 t="shared" si="5"/>
        <v>Sa.</v>
      </c>
      <c r="B43" s="3">
        <v>46025</v>
      </c>
      <c r="C43" s="2" t="s">
        <v>45</v>
      </c>
      <c r="D43" s="4">
        <v>0.5</v>
      </c>
      <c r="E43" s="4">
        <v>0.58333333333333337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 t="shared" si="5"/>
        <v>So.</v>
      </c>
      <c r="B44" s="3">
        <v>46026</v>
      </c>
      <c r="C44" s="2" t="s">
        <v>46</v>
      </c>
      <c r="D44" s="4">
        <v>0.70833333333333337</v>
      </c>
      <c r="E44" s="4">
        <v>0.875</v>
      </c>
      <c r="F44" s="12">
        <f>IF(E44&gt;D44,E44-D44,IF(ISNUMBER(Stundenliste[[#This Row],[Von]]),"24:00"-(D44-E44),""))</f>
        <v>0.16666666666666663</v>
      </c>
      <c r="G44" s="2" t="s">
        <v>7</v>
      </c>
    </row>
    <row r="45" spans="1:7" x14ac:dyDescent="0.25">
      <c r="A45" s="2" t="str">
        <f t="shared" si="5"/>
        <v>Fr.</v>
      </c>
      <c r="B45" s="3">
        <v>46031</v>
      </c>
      <c r="C45" s="2" t="s">
        <v>47</v>
      </c>
      <c r="D45" s="4">
        <v>0.30902777777777779</v>
      </c>
      <c r="E45" s="4">
        <v>0.35069444444444442</v>
      </c>
      <c r="F45" s="12">
        <f>IF(E45&gt;D45,E45-D45,IF(ISNUMBER(Stundenliste[[#This Row],[Von]]),"24:00"-(D45-E45),""))</f>
        <v>4.166666666666663E-2</v>
      </c>
      <c r="G45" s="2" t="s">
        <v>7</v>
      </c>
    </row>
    <row r="46" spans="1:7" x14ac:dyDescent="0.25">
      <c r="A46" s="2" t="str">
        <f t="shared" si="5"/>
        <v>Fr.</v>
      </c>
      <c r="B46" s="3">
        <v>46038</v>
      </c>
      <c r="C46" s="2" t="s">
        <v>50</v>
      </c>
      <c r="D46" s="4">
        <v>0.66666666666666663</v>
      </c>
      <c r="E46" s="4">
        <v>0.83333333333333337</v>
      </c>
      <c r="F46" s="12">
        <f>IF(E46&gt;D46,E46-D46,IF(ISNUMBER(Stundenliste[[#This Row],[Von]]),"24:00"-(D46-E46),""))</f>
        <v>0.16666666666666674</v>
      </c>
      <c r="G46" s="2" t="s">
        <v>7</v>
      </c>
    </row>
    <row r="47" spans="1:7" x14ac:dyDescent="0.25">
      <c r="A47" s="2" t="str">
        <f t="shared" si="5"/>
        <v>Sa.</v>
      </c>
      <c r="B47" s="3">
        <v>46039</v>
      </c>
      <c r="C47" s="2" t="s">
        <v>51</v>
      </c>
      <c r="D47" s="4">
        <v>0.66666666666666663</v>
      </c>
      <c r="E47" s="4">
        <v>0.83333333333333337</v>
      </c>
      <c r="F47" s="12">
        <f>IF(E47&gt;D47,E47-D47,IF(ISNUMBER(Stundenliste[[#This Row],[Von]]),"24:00"-(D47-E47),""))</f>
        <v>0.16666666666666674</v>
      </c>
      <c r="G47" s="2" t="s">
        <v>10</v>
      </c>
    </row>
    <row r="48" spans="1:7" x14ac:dyDescent="0.25">
      <c r="A48" s="2" t="str">
        <f t="shared" si="5"/>
        <v>Di.</v>
      </c>
      <c r="B48" s="3">
        <v>46042</v>
      </c>
      <c r="C48" s="2" t="s">
        <v>52</v>
      </c>
      <c r="D48" s="4">
        <v>0.91666666666666663</v>
      </c>
      <c r="E48" s="17">
        <v>1</v>
      </c>
      <c r="F48" s="12">
        <f>IF(E48&gt;D48,E48-D48,IF(ISNUMBER(Stundenliste[[#This Row],[Von]]),"24:00"-(D48-E48),""))</f>
        <v>8.333333333333337E-2</v>
      </c>
      <c r="G48" s="2" t="s">
        <v>10</v>
      </c>
    </row>
    <row r="49" spans="1:7" x14ac:dyDescent="0.25">
      <c r="A49" s="2" t="str">
        <f t="shared" si="5"/>
        <v>Mi.</v>
      </c>
      <c r="B49" s="3">
        <v>46050</v>
      </c>
      <c r="C49" s="2" t="s">
        <v>88</v>
      </c>
      <c r="D49" s="4">
        <v>0.72222222222222221</v>
      </c>
      <c r="E49" s="4">
        <v>0.76388888888888884</v>
      </c>
      <c r="F49" s="12">
        <f>IF(E49&gt;D49,E49-D49,IF(ISNUMBER(Stundenliste[[#This Row],[Von]]),"24:00"-(D49-E49),""))</f>
        <v>4.166666666666663E-2</v>
      </c>
      <c r="G49" s="2" t="s">
        <v>10</v>
      </c>
    </row>
    <row r="50" spans="1:7" x14ac:dyDescent="0.25">
      <c r="A50" s="2" t="str">
        <f t="shared" si="5"/>
        <v>Mi.</v>
      </c>
      <c r="B50" s="3">
        <v>46057</v>
      </c>
      <c r="C50" s="2" t="s">
        <v>53</v>
      </c>
      <c r="D50" s="4">
        <v>0.91666666666666663</v>
      </c>
      <c r="E50" s="17">
        <v>1</v>
      </c>
      <c r="F50" s="12">
        <f>IF(E50&gt;D50,E50-D50,IF(ISNUMBER(Stundenliste[[#This Row],[Von]]),"24:00"-(D50-E50),""))</f>
        <v>8.333333333333337E-2</v>
      </c>
      <c r="G50" s="2" t="s">
        <v>10</v>
      </c>
    </row>
    <row r="51" spans="1:7" x14ac:dyDescent="0.25">
      <c r="A51" s="2" t="str">
        <f t="shared" si="5"/>
        <v>Mo.</v>
      </c>
      <c r="B51" s="3">
        <v>46062</v>
      </c>
      <c r="C51" s="2" t="s">
        <v>56</v>
      </c>
      <c r="D51" s="4">
        <v>0.70833333333333337</v>
      </c>
      <c r="E51" s="4">
        <v>0.75</v>
      </c>
      <c r="F51" s="12">
        <f>IF(E51&gt;D51,E51-D51,IF(ISNUMBER(Stundenliste[[#This Row],[Von]]),"24:00"-(D51-E51),""))</f>
        <v>4.166666666666663E-2</v>
      </c>
      <c r="G51" s="2" t="s">
        <v>10</v>
      </c>
    </row>
    <row r="52" spans="1:7" x14ac:dyDescent="0.25">
      <c r="A52" s="2" t="str">
        <f t="shared" si="5"/>
        <v>Sa.</v>
      </c>
      <c r="B52" s="3">
        <v>46067</v>
      </c>
      <c r="C52" s="2" t="s">
        <v>54</v>
      </c>
      <c r="D52" s="4">
        <v>0.66666666666666663</v>
      </c>
      <c r="E52" s="4">
        <v>0.875</v>
      </c>
      <c r="F52" s="12">
        <f>IF(E52&gt;D52,E52-D52,IF(ISNUMBER(Stundenliste[[#This Row],[Von]]),"24:00"-(D52-E52),""))</f>
        <v>0.20833333333333337</v>
      </c>
      <c r="G52" s="2" t="s">
        <v>13</v>
      </c>
    </row>
    <row r="53" spans="1:7" x14ac:dyDescent="0.25">
      <c r="A53" s="2" t="str">
        <f t="shared" si="5"/>
        <v>Sa.</v>
      </c>
      <c r="B53" s="3">
        <v>46067</v>
      </c>
      <c r="C53" s="2" t="s">
        <v>55</v>
      </c>
      <c r="D53" s="4">
        <v>0.58333333333333337</v>
      </c>
      <c r="E53" s="4">
        <v>0.75</v>
      </c>
      <c r="F53" s="12">
        <f>IF(E53&gt;D53,E53-D53,IF(ISNUMBER(Stundenliste[[#This Row],[Von]]),"24:00"-(D53-E53),""))</f>
        <v>0.16666666666666663</v>
      </c>
      <c r="G53" s="2" t="s">
        <v>9</v>
      </c>
    </row>
    <row r="54" spans="1:7" x14ac:dyDescent="0.25">
      <c r="A54" s="2" t="str">
        <f t="shared" si="5"/>
        <v>Sa.</v>
      </c>
      <c r="B54" s="3">
        <v>46067</v>
      </c>
      <c r="C54" s="2" t="s">
        <v>55</v>
      </c>
      <c r="D54" s="4">
        <v>0.58333333333333337</v>
      </c>
      <c r="E54" s="4">
        <v>0.75</v>
      </c>
      <c r="F54" s="12">
        <f>IF(E54&gt;D54,E54-D54,IF(ISNUMBER(Stundenliste[[#This Row],[Von]]),"24:00"-(D54-E54),""))</f>
        <v>0.16666666666666663</v>
      </c>
      <c r="G54" s="2" t="s">
        <v>9</v>
      </c>
    </row>
    <row r="55" spans="1:7" x14ac:dyDescent="0.25">
      <c r="A55" s="2" t="str">
        <f t="shared" si="5"/>
        <v>Fr.</v>
      </c>
      <c r="B55" s="3">
        <v>46073</v>
      </c>
      <c r="C55" s="2" t="s">
        <v>57</v>
      </c>
      <c r="D55" s="4">
        <v>0.54166666666666663</v>
      </c>
      <c r="E55" s="4">
        <v>0.66666666666666663</v>
      </c>
      <c r="F55" s="12">
        <f>IF(E55&gt;D55,E55-D55,IF(ISNUMBER(Stundenliste[[#This Row],[Von]]),"24:00"-(D55-E55),""))</f>
        <v>0.125</v>
      </c>
      <c r="G55" s="2" t="s">
        <v>9</v>
      </c>
    </row>
    <row r="56" spans="1:7" x14ac:dyDescent="0.25">
      <c r="A56" s="2" t="str">
        <f t="shared" si="5"/>
        <v>Sa.</v>
      </c>
      <c r="B56" s="3">
        <v>46074</v>
      </c>
      <c r="C56" s="2" t="s">
        <v>58</v>
      </c>
      <c r="D56" s="4">
        <v>0.75</v>
      </c>
      <c r="E56" s="4">
        <v>0</v>
      </c>
      <c r="F56" s="12">
        <f>IF(E56&gt;D56,E56-D56,IF(ISNUMBER(Stundenliste[[#This Row],[Von]]),"24:00"-(D56-E56),""))</f>
        <v>0.25</v>
      </c>
      <c r="G56" s="2" t="s">
        <v>7</v>
      </c>
    </row>
    <row r="57" spans="1:7" x14ac:dyDescent="0.25">
      <c r="A57" s="2" t="str">
        <f t="shared" si="5"/>
        <v>Di.</v>
      </c>
      <c r="B57" s="3">
        <v>46077</v>
      </c>
      <c r="C57" s="2" t="s">
        <v>59</v>
      </c>
      <c r="D57" s="4">
        <v>0.75</v>
      </c>
      <c r="E57" s="4">
        <v>0.8125</v>
      </c>
      <c r="F57" s="5">
        <f>IF(E57&gt;D57,E57-D57,IF(ISNUMBER(Stundenliste[[#This Row],[Von]]),"24:00"-(D57-E57),""))</f>
        <v>6.25E-2</v>
      </c>
      <c r="G57" s="2" t="s">
        <v>9</v>
      </c>
    </row>
    <row r="58" spans="1:7" x14ac:dyDescent="0.25">
      <c r="A58" s="2" t="str">
        <f t="shared" si="5"/>
        <v>Fr.</v>
      </c>
      <c r="B58" s="3">
        <v>46080</v>
      </c>
      <c r="C58" s="2" t="s">
        <v>60</v>
      </c>
      <c r="D58" s="4">
        <v>0.375</v>
      </c>
      <c r="E58" s="4">
        <v>0.41666666666666669</v>
      </c>
      <c r="F58" s="5">
        <f>IF(E58&gt;D58,E58-D58,IF(ISNUMBER(Stundenliste[[#This Row],[Von]]),"24:00"-(D58-E58),""))</f>
        <v>4.1666666666666685E-2</v>
      </c>
      <c r="G58" s="2" t="s">
        <v>13</v>
      </c>
    </row>
    <row r="59" spans="1:7" x14ac:dyDescent="0.25">
      <c r="A59" s="2" t="str">
        <f t="shared" si="5"/>
        <v>Fr.</v>
      </c>
      <c r="B59" s="3">
        <v>46080</v>
      </c>
      <c r="C59" s="2" t="s">
        <v>61</v>
      </c>
      <c r="D59" s="4">
        <v>0.39583333333333331</v>
      </c>
      <c r="E59" s="4">
        <v>0.41666666666666669</v>
      </c>
      <c r="F59" s="5">
        <f>IF(E59&gt;D59,E59-D59,IF(ISNUMBER(Stundenliste[[#This Row],[Von]]),"24:00"-(D59-E59),""))</f>
        <v>2.083333333333337E-2</v>
      </c>
      <c r="G59" s="2" t="s">
        <v>9</v>
      </c>
    </row>
    <row r="60" spans="1:7" x14ac:dyDescent="0.25">
      <c r="A60" s="2" t="str">
        <f t="shared" si="5"/>
        <v>Fr.</v>
      </c>
      <c r="B60" s="3">
        <v>46080</v>
      </c>
      <c r="C60" s="2" t="s">
        <v>62</v>
      </c>
      <c r="D60" s="4">
        <v>0.63541666666666663</v>
      </c>
      <c r="E60" s="4">
        <v>0.69791666666666663</v>
      </c>
      <c r="F60" s="5">
        <f>IF(E60&gt;D60,E60-D60,IF(ISNUMBER(Stundenliste[[#This Row],[Von]]),"24:00"-(D60-E60),""))</f>
        <v>6.25E-2</v>
      </c>
      <c r="G60" s="2" t="s">
        <v>10</v>
      </c>
    </row>
    <row r="61" spans="1:7" x14ac:dyDescent="0.25">
      <c r="A61" s="2" t="str">
        <f t="shared" si="5"/>
        <v>Fr.</v>
      </c>
      <c r="B61" s="3">
        <v>46080</v>
      </c>
      <c r="C61" s="2" t="s">
        <v>63</v>
      </c>
      <c r="D61" s="4">
        <v>0.97916666666666663</v>
      </c>
      <c r="E61" s="4">
        <v>4.1666666666666664E-2</v>
      </c>
      <c r="F61" s="5">
        <f>IF(E61&gt;D61,E61-D61,IF(ISNUMBER(Stundenliste[[#This Row],[Von]]),"24:00"-(D61-E61),""))</f>
        <v>6.25E-2</v>
      </c>
      <c r="G61" s="2" t="s">
        <v>10</v>
      </c>
    </row>
    <row r="62" spans="1:7" x14ac:dyDescent="0.25">
      <c r="A62" s="2" t="str">
        <f t="shared" si="5"/>
        <v>Sa.</v>
      </c>
      <c r="B62" s="3">
        <v>46081</v>
      </c>
      <c r="C62" s="2" t="s">
        <v>64</v>
      </c>
      <c r="D62" s="4">
        <v>0.41666666666666669</v>
      </c>
      <c r="E62" s="4">
        <v>0.6875</v>
      </c>
      <c r="F62" s="5">
        <f>IF(E62&gt;D62,E62-D62,IF(ISNUMBER(Stundenliste[[#This Row],[Von]]),"24:00"-(D62-E62),""))</f>
        <v>0.27083333333333331</v>
      </c>
      <c r="G62" s="2" t="s">
        <v>12</v>
      </c>
    </row>
    <row r="63" spans="1:7" x14ac:dyDescent="0.25">
      <c r="A63" s="2" t="str">
        <f t="shared" si="5"/>
        <v>So.</v>
      </c>
      <c r="B63" s="3">
        <v>46082</v>
      </c>
      <c r="C63" s="2" t="s">
        <v>72</v>
      </c>
      <c r="D63" s="4">
        <v>0.45833333333333331</v>
      </c>
      <c r="E63" s="4">
        <v>0.70833333333333337</v>
      </c>
      <c r="F63" s="5">
        <f>IF(E63&gt;D63,E63-D63,IF(ISNUMBER(Stundenliste[[#This Row],[Von]]),"24:00"-(D63-E63),""))</f>
        <v>0.25000000000000006</v>
      </c>
      <c r="G63" s="2" t="s">
        <v>11</v>
      </c>
    </row>
    <row r="64" spans="1:7" x14ac:dyDescent="0.25">
      <c r="A64" s="2" t="str">
        <f t="shared" si="5"/>
        <v>So.</v>
      </c>
      <c r="B64" s="3">
        <v>46082</v>
      </c>
      <c r="C64" s="2" t="s">
        <v>73</v>
      </c>
      <c r="D64" s="4">
        <v>0.45833333333333331</v>
      </c>
      <c r="E64" s="4">
        <v>0.70833333333333337</v>
      </c>
      <c r="F64" s="5">
        <f>IF(E64&gt;D64,E64-D64,IF(ISNUMBER(Stundenliste[[#This Row],[Von]]),"24:00"-(D64-E64),""))</f>
        <v>0.25000000000000006</v>
      </c>
      <c r="G64" s="2" t="s">
        <v>10</v>
      </c>
    </row>
    <row r="65" spans="1:7" x14ac:dyDescent="0.25">
      <c r="A65" s="2" t="str">
        <f t="shared" si="5"/>
        <v>So.</v>
      </c>
      <c r="B65" s="3">
        <v>46082</v>
      </c>
      <c r="C65" s="2" t="s">
        <v>74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9</v>
      </c>
    </row>
    <row r="66" spans="1:7" x14ac:dyDescent="0.25">
      <c r="A66" s="2" t="str">
        <f t="shared" ref="A66:A97" si="6">IF(ISNUMBER(B66),LEFT(TEXT(B66,"TTTT"),2)&amp;".","")</f>
        <v>So.</v>
      </c>
      <c r="B66" s="3">
        <v>46082</v>
      </c>
      <c r="C66" s="2" t="s">
        <v>75</v>
      </c>
      <c r="D66" s="4">
        <v>0.29166666666666669</v>
      </c>
      <c r="E66" s="4">
        <v>0.41666666666666669</v>
      </c>
      <c r="F66" s="5">
        <f>IF(E66&gt;D66,E66-D66,IF(ISNUMBER(Stundenliste[[#This Row],[Von]]),"24:00"-(D66-E66),""))</f>
        <v>0.125</v>
      </c>
      <c r="G66" s="2" t="s">
        <v>9</v>
      </c>
    </row>
    <row r="67" spans="1:7" x14ac:dyDescent="0.25">
      <c r="A67" s="2" t="str">
        <f t="shared" si="6"/>
        <v>Mo.</v>
      </c>
      <c r="B67" s="3">
        <v>46083</v>
      </c>
      <c r="C67" s="2" t="s">
        <v>76</v>
      </c>
      <c r="D67" s="4">
        <v>0.33333333333333331</v>
      </c>
      <c r="E67" s="4">
        <v>0.375</v>
      </c>
      <c r="F67" s="5">
        <f>IF(E67&gt;D67,E67-D67,IF(ISNUMBER(Stundenliste[[#This Row],[Von]]),"24:00"-(D67-E67),""))</f>
        <v>4.1666666666666685E-2</v>
      </c>
      <c r="G67" s="2" t="s">
        <v>7</v>
      </c>
    </row>
    <row r="68" spans="1:7" x14ac:dyDescent="0.25">
      <c r="A68" s="2" t="str">
        <f t="shared" si="6"/>
        <v>Mo.</v>
      </c>
      <c r="B68" s="3">
        <v>46083</v>
      </c>
      <c r="C68" s="2" t="s">
        <v>77</v>
      </c>
      <c r="D68" s="4">
        <v>0.625</v>
      </c>
      <c r="E68" s="4">
        <v>0.70833333333333337</v>
      </c>
      <c r="F68" s="5">
        <f>IF(E68&gt;D68,E68-D68,IF(ISNUMBER(Stundenliste[[#This Row],[Von]]),"24:00"-(D68-E68),""))</f>
        <v>8.333333333333337E-2</v>
      </c>
      <c r="G68" s="2" t="s">
        <v>10</v>
      </c>
    </row>
    <row r="69" spans="1:7" x14ac:dyDescent="0.25">
      <c r="A69" s="2" t="str">
        <f t="shared" si="6"/>
        <v>Di.</v>
      </c>
      <c r="B69" s="3">
        <v>46084</v>
      </c>
      <c r="C69" s="2" t="s">
        <v>82</v>
      </c>
      <c r="D69" s="4">
        <v>0.49305555555555558</v>
      </c>
      <c r="E69" s="4">
        <v>0.53472222222222221</v>
      </c>
      <c r="F69" s="5">
        <f>IF(E69&gt;D69,E69-D69,IF(ISNUMBER(Stundenliste[[#This Row],[Von]]),"24:00"-(D69-E69),""))</f>
        <v>4.166666666666663E-2</v>
      </c>
      <c r="G69" s="2" t="s">
        <v>7</v>
      </c>
    </row>
    <row r="70" spans="1:7" x14ac:dyDescent="0.25">
      <c r="A70" s="2" t="str">
        <f t="shared" si="6"/>
        <v>Di.</v>
      </c>
      <c r="B70" s="3">
        <v>46084</v>
      </c>
      <c r="C70" s="2" t="s">
        <v>78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 t="shared" si="6"/>
        <v>Mi.</v>
      </c>
      <c r="B71" s="3">
        <v>46085</v>
      </c>
      <c r="C71" s="2" t="s">
        <v>79</v>
      </c>
      <c r="D71" s="4">
        <v>0.625</v>
      </c>
      <c r="E71" s="4">
        <v>0.70833333333333337</v>
      </c>
      <c r="F71" s="5">
        <f>IF(E71&gt;D71,E71-D71,IF(ISNUMBER(Stundenliste[[#This Row],[Von]]),"24:00"-(D71-E71),""))</f>
        <v>8.333333333333337E-2</v>
      </c>
      <c r="G71" s="2" t="s">
        <v>10</v>
      </c>
    </row>
    <row r="72" spans="1:7" x14ac:dyDescent="0.25">
      <c r="A72" s="2" t="str">
        <f t="shared" si="6"/>
        <v>Mi.</v>
      </c>
      <c r="B72" s="3">
        <v>46085</v>
      </c>
      <c r="C72" s="2" t="s">
        <v>80</v>
      </c>
      <c r="D72" s="4">
        <v>0.4861111111111111</v>
      </c>
      <c r="E72" s="4">
        <v>0.52777777777777779</v>
      </c>
      <c r="F72" s="5">
        <f>IF(E72&gt;D72,E72-D72,IF(ISNUMBER(Stundenliste[[#This Row],[Von]]),"24:00"-(D72-E72),""))</f>
        <v>4.1666666666666685E-2</v>
      </c>
      <c r="G72" s="2" t="s">
        <v>7</v>
      </c>
    </row>
    <row r="73" spans="1:7" x14ac:dyDescent="0.25">
      <c r="A73" s="2" t="str">
        <f t="shared" si="6"/>
        <v>Mi.</v>
      </c>
      <c r="B73" s="3">
        <v>46085</v>
      </c>
      <c r="C73" s="2" t="s">
        <v>81</v>
      </c>
      <c r="D73" s="4">
        <v>0.83333333333333337</v>
      </c>
      <c r="E73" s="4">
        <v>0.91666666666666663</v>
      </c>
      <c r="F73" s="5">
        <f>IF(E73&gt;D73,E73-D73,IF(ISNUMBER(Stundenliste[[#This Row],[Von]]),"24:00"-(D73-E73),""))</f>
        <v>8.3333333333333259E-2</v>
      </c>
      <c r="G73" s="2" t="s">
        <v>11</v>
      </c>
    </row>
    <row r="74" spans="1:7" x14ac:dyDescent="0.25">
      <c r="A74" s="2" t="str">
        <f t="shared" si="6"/>
        <v>Do.</v>
      </c>
      <c r="B74" s="3">
        <v>46086</v>
      </c>
      <c r="C74" s="2" t="s">
        <v>83</v>
      </c>
      <c r="D74" s="4">
        <v>0.45833333333333331</v>
      </c>
      <c r="E74" s="4">
        <v>0.54166666666666663</v>
      </c>
      <c r="F74" s="5">
        <f>IF(E74&gt;D74,E74-D74,IF(ISNUMBER(Stundenliste[[#This Row],[Von]]),"24:00"-(D74-E74),""))</f>
        <v>8.3333333333333315E-2</v>
      </c>
      <c r="G74" s="2" t="s">
        <v>7</v>
      </c>
    </row>
    <row r="75" spans="1:7" x14ac:dyDescent="0.25">
      <c r="A75" s="2" t="str">
        <f t="shared" si="6"/>
        <v>Do.</v>
      </c>
      <c r="B75" s="3">
        <v>46086</v>
      </c>
      <c r="C75" s="2" t="s">
        <v>84</v>
      </c>
      <c r="D75" s="4">
        <v>0.75</v>
      </c>
      <c r="E75" s="4">
        <v>0.875</v>
      </c>
      <c r="F75" s="5">
        <f>IF(E75&gt;D75,E75-D75,IF(ISNUMBER(Stundenliste[[#This Row],[Von]]),"24:00"-(D75-E75),""))</f>
        <v>0.125</v>
      </c>
      <c r="G75" s="2" t="s">
        <v>11</v>
      </c>
    </row>
    <row r="76" spans="1:7" x14ac:dyDescent="0.25">
      <c r="A76" s="2" t="str">
        <f t="shared" si="6"/>
        <v>Fr.</v>
      </c>
      <c r="B76" s="3">
        <v>46087</v>
      </c>
      <c r="C76" s="2" t="s">
        <v>85</v>
      </c>
      <c r="D76" s="4">
        <v>0.75</v>
      </c>
      <c r="E76" s="4">
        <v>0.875</v>
      </c>
      <c r="F76" s="5">
        <f>IF(E76&gt;D76,E76-D76,IF(ISNUMBER(Stundenliste[[#This Row],[Von]]),"24:00"-(D76-E76),""))</f>
        <v>0.125</v>
      </c>
      <c r="G76" s="2" t="s">
        <v>11</v>
      </c>
    </row>
    <row r="77" spans="1:7" x14ac:dyDescent="0.25">
      <c r="A77" s="2" t="str">
        <f t="shared" si="6"/>
        <v>Sa.</v>
      </c>
      <c r="B77" s="3">
        <v>46088</v>
      </c>
      <c r="C77" s="2" t="s">
        <v>86</v>
      </c>
      <c r="D77" s="4">
        <v>0.625</v>
      </c>
      <c r="E77" s="4">
        <v>0.70833333333333337</v>
      </c>
      <c r="F77" s="5">
        <f>IF(E77&gt;D77,E77-D77,IF(ISNUMBER(Stundenliste[[#This Row],[Von]]),"24:00"-(D77-E77),""))</f>
        <v>8.333333333333337E-2</v>
      </c>
      <c r="G77" s="2" t="s">
        <v>11</v>
      </c>
    </row>
    <row r="78" spans="1:7" x14ac:dyDescent="0.25">
      <c r="A78" s="2" t="str">
        <f t="shared" si="6"/>
        <v>So.</v>
      </c>
      <c r="B78" s="3">
        <v>46089</v>
      </c>
      <c r="C78" s="2" t="s">
        <v>87</v>
      </c>
      <c r="D78" s="4">
        <v>0.70833333333333337</v>
      </c>
      <c r="E78" s="4">
        <v>0.83333333333333337</v>
      </c>
      <c r="F78" s="5">
        <f>IF(E78&gt;D78,E78-D78,IF(ISNUMBER(Stundenliste[[#This Row],[Von]]),"24:00"-(D78-E78),""))</f>
        <v>0.125</v>
      </c>
      <c r="G78" s="2" t="s">
        <v>11</v>
      </c>
    </row>
    <row r="79" spans="1:7" x14ac:dyDescent="0.25">
      <c r="A79" s="2" t="str">
        <f t="shared" si="6"/>
        <v>Mo.</v>
      </c>
      <c r="B79" s="3">
        <v>46090</v>
      </c>
      <c r="C79" s="2" t="s">
        <v>89</v>
      </c>
      <c r="D79" s="4">
        <v>0.33333333333333331</v>
      </c>
      <c r="E79" s="4">
        <v>0.375</v>
      </c>
      <c r="F79" s="5">
        <f>IF(E79&gt;D79,E79-D79,IF(ISNUMBER(Stundenliste[[#This Row],[Von]]),"24:00"-(D79-E79),""))</f>
        <v>4.1666666666666685E-2</v>
      </c>
      <c r="G79" s="2" t="s">
        <v>13</v>
      </c>
    </row>
    <row r="80" spans="1:7" x14ac:dyDescent="0.25">
      <c r="A80" s="2" t="str">
        <f t="shared" si="6"/>
        <v>Mo.</v>
      </c>
      <c r="B80" s="3">
        <v>46090</v>
      </c>
      <c r="C80" s="2" t="s">
        <v>90</v>
      </c>
      <c r="D80" s="4">
        <v>0.375</v>
      </c>
      <c r="E80" s="4">
        <v>0.3888888888888889</v>
      </c>
      <c r="F80" s="5">
        <f>IF(E80&gt;D80,E80-D80,IF(ISNUMBER(Stundenliste[[#This Row],[Von]]),"24:00"-(D80-E80),""))</f>
        <v>1.3888888888888895E-2</v>
      </c>
      <c r="G80" s="2" t="s">
        <v>11</v>
      </c>
    </row>
    <row r="81" spans="1:7" x14ac:dyDescent="0.25">
      <c r="A81" s="23" t="str">
        <f>IF(ISNUMBER(B81),LEFT(TEXT(B81,"TTTT"),2)&amp;".","")</f>
        <v>Mo.</v>
      </c>
      <c r="B81" s="3">
        <v>46090</v>
      </c>
      <c r="C81" s="23" t="s">
        <v>91</v>
      </c>
      <c r="D81" s="4">
        <v>0.77083333333333337</v>
      </c>
      <c r="E81" s="4">
        <v>0.89583333333333337</v>
      </c>
      <c r="F81" s="5">
        <f>IF(E81&gt;D81,E81-D81,IF(ISNUMBER(Stundenliste[[#This Row],[Von]]),"24:00"-(D81-E81),""))</f>
        <v>0.125</v>
      </c>
      <c r="G81" s="2" t="s">
        <v>11</v>
      </c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Arthur Peer</cp:lastModifiedBy>
  <cp:revision/>
  <cp:lastPrinted>2026-01-09T07:41:25Z</cp:lastPrinted>
  <dcterms:created xsi:type="dcterms:W3CDTF">2022-09-30T10:08:24Z</dcterms:created>
  <dcterms:modified xsi:type="dcterms:W3CDTF">2026-03-09T20:29:44Z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