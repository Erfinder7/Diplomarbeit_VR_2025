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nwender\Downloads\"/>
    </mc:Choice>
  </mc:AlternateContent>
  <xr:revisionPtr revIDLastSave="0" documentId="13_ncr:1_{CD32268D-1533-45B2-81E9-02A095F5C2DA}" xr6:coauthVersionLast="47" xr6:coauthVersionMax="47" xr10:uidLastSave="{00000000-0000-0000-0000-000000000000}"/>
  <bookViews>
    <workbookView xWindow="-120" yWindow="-120" windowWidth="38640" windowHeight="21120" xr2:uid="{904973F5-B02B-4666-A03D-BB66738E721E}"/>
  </bookViews>
  <sheets>
    <sheet name="Tabelle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Q6" i="1"/>
  <c r="P6" i="1"/>
  <c r="F36" i="1"/>
  <c r="F35" i="1"/>
  <c r="A35" i="1"/>
  <c r="F31" i="1"/>
  <c r="F32" i="1"/>
  <c r="F33" i="1"/>
  <c r="F34" i="1"/>
  <c r="A10" i="1"/>
  <c r="F10" i="1"/>
  <c r="J9" i="1"/>
  <c r="A34" i="1"/>
  <c r="A21" i="1"/>
  <c r="A36" i="1"/>
  <c r="A37" i="1"/>
  <c r="A38" i="1"/>
  <c r="A40" i="1"/>
  <c r="A41" i="1"/>
  <c r="F21" i="1"/>
  <c r="F37" i="1"/>
  <c r="F38" i="1"/>
  <c r="F39" i="1"/>
  <c r="F40" i="1"/>
  <c r="F41" i="1"/>
  <c r="F2" i="1"/>
  <c r="F3" i="1"/>
  <c r="F4" i="1"/>
  <c r="F5" i="1"/>
  <c r="F6" i="1"/>
  <c r="F8" i="1"/>
  <c r="F9" i="1"/>
  <c r="F11" i="1"/>
  <c r="F12" i="1"/>
  <c r="F15" i="1"/>
  <c r="J3" i="1" s="1"/>
  <c r="F26" i="1"/>
  <c r="F27" i="1"/>
  <c r="J5" i="1" s="1"/>
  <c r="F16" i="1"/>
  <c r="J8" i="1" s="1"/>
  <c r="F20" i="1"/>
  <c r="F22" i="1"/>
  <c r="F19" i="1"/>
  <c r="F18" i="1"/>
  <c r="F29" i="1"/>
  <c r="F25" i="1"/>
  <c r="F23" i="1"/>
  <c r="F30" i="1"/>
  <c r="F28" i="1"/>
  <c r="F14" i="1"/>
  <c r="F17" i="1"/>
  <c r="F13" i="1"/>
  <c r="F7" i="1"/>
  <c r="F24" i="1"/>
  <c r="A24" i="1"/>
  <c r="J4" i="1" l="1"/>
  <c r="J7" i="1"/>
  <c r="J11" i="1"/>
  <c r="M7" i="1"/>
  <c r="A7" i="1" l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3" i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<sst xmlns="http://schemas.openxmlformats.org/spreadsheetml/2006/main" count="106" uniqueCount="53">
  <si>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</si>
  <si>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</si>
  <si>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</si>
  <si>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</si>
  <si>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</si>
  <si>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</si>
  <si>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</si>
  <si>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</si>
  <si>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</si>
  <si>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</si>
  <si>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</si>
  <si>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</si>
  <si>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</si>
  <si>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</si>
  <si>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</si>
  <si>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</si>
  <si>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</si>
  <si>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</si>
  <si>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</si>
  <si>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</si>
  <si>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</si>
  <si>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</si>
  <si>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</si>
  <si>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</si>
  <si>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</si>
  <si>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</si>
  <si>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</si>
  <si>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</si>
  <si>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</si>
  <si>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</si>
  <si>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</si>
  <si>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</si>
  <si>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</si>
  <si>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</si>
  <si>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</si>
  <si>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</si>
  <si>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</si>
  <si>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</si>
  <si>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</si>
  <si>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</si>
  <si>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</si>
  <si>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</si>
  <si>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</si>
  <si>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</si>
  <si>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</si>
  <si>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</si>
  <si>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</si>
  <si>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</si>
  <si>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</si>
  <si>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</si>
  <si>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</si>
  <si>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Fehlerbehben (Debugging)</t>
  </si>
  <si>
    <t>Programmiert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</si>
</sst>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4" formatCode="h: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0.58936403508771606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0.39839181286549502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0.46600877192982215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R1\Downloads\Stundenliste.xlsx" TargetMode="External"/><Relationship Id="rId1" Type="http://schemas.openxmlformats.org/officeDocument/2006/relationships/externalLinkPath" Target="Stundenlis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Stundenliste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41" totalsRowShown="0" headerRowDxfId="16" dataDxfId="15">
  <autoFilter ref="A1:G41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IF(E2&gt;D2,E2-D2,IF(ISNUMBER([1]!Stundenliste[[#This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41"/>
  <sheetViews>
    <sheetView tabSelected="1" topLeftCell="A7" zoomScale="145" zoomScaleNormal="145" workbookViewId="0">
      <selection activeCell="H41" sqref="H41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IF(E2&gt;D2,E2-D2,IF(ISNUMBER([1]!Stundenliste[[#This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IF(E3&gt;D3,E3-D3,IF(ISNUMBER([1]!Stundenliste[[#This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0.60416666666666652</v>
      </c>
      <c r="L3" t="s">
        <v>10</v>
      </c>
      <c r="M3" s="11">
        <f>SUM(J4,J7,J8,J11)</f>
        <v>4.4791666666666661</v>
      </c>
      <c r="N3" s="18">
        <f>M3</f>
        <v>4.4791666666666661</v>
      </c>
      <c r="O3" s="18">
        <f>N3/60</f>
        <v>7.4652777777777762E-2</v>
      </c>
      <c r="P3" s="22">
        <f t="shared" ref="P3:P6" si="1">(O3/180)*100</f>
        <v>4.1473765432098755E-2</v>
      </c>
      <c r="Q3" s="21">
        <f>(P3*1421.05263157894)/100</f>
        <v>0.58936403508771606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IF(E4&gt;D4,E4-D4,IF(ISNUMBER([1]!Stundenliste[[#This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1.0416666666666665</v>
      </c>
      <c r="L4" t="s">
        <v>11</v>
      </c>
      <c r="M4" s="11">
        <f>SUM(J5,J8,J9,J11)</f>
        <v>3.0277777777777781</v>
      </c>
      <c r="N4" s="18">
        <f t="shared" ref="N4:N5" si="2">M4</f>
        <v>3.0277777777777781</v>
      </c>
      <c r="O4" s="18">
        <f t="shared" ref="O4:O5" si="3">N4/60</f>
        <v>5.0462962962962966E-2</v>
      </c>
      <c r="P4" s="22">
        <f t="shared" si="1"/>
        <v>2.8034979423868317E-2</v>
      </c>
      <c r="Q4" s="21">
        <f t="shared" ref="Q4:Q5" si="4">(P4*1421.05263157894)/100</f>
        <v>0.39839181286549502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IF(E5&gt;D5,E5-D5,IF(ISNUMBER([1]!Stundenliste[[#This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9.0277777777778123E-2</v>
      </c>
      <c r="L5" t="s">
        <v>9</v>
      </c>
      <c r="M5" s="11">
        <f>SUM(J3,J7,J9,J11)</f>
        <v>3.5416666666666665</v>
      </c>
      <c r="N5" s="18">
        <f t="shared" si="2"/>
        <v>3.5416666666666665</v>
      </c>
      <c r="O5" s="18">
        <f t="shared" si="3"/>
        <v>5.9027777777777776E-2</v>
      </c>
      <c r="P5" s="22">
        <f t="shared" si="1"/>
        <v>3.279320987654321E-2</v>
      </c>
      <c r="Q5" s="21">
        <f t="shared" si="4"/>
        <v>0.46600877192982215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IF(E6&gt;D6,E6-D6,IF(ISNUMBER([1]!Stundenliste[[#This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IF(E7&gt;D7,E7-D7,IF(ISNUMBER([1]!Stundenliste[[#This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0.49999999999999989</v>
      </c>
      <c r="M7" s="15">
        <f>SUM(F2:F41)</f>
        <v>5.1736111111111134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IF(E8&gt;D8,E8-D8,IF(ISNUMBER([1]!Stundenliste[[#This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0.5</v>
      </c>
      <c r="M8" s="16">
        <f>TEXT(M7,"[h]")+TEXT(M7,"mm")/60</f>
        <v>124.16666666666667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IF(E9&gt;D9,E9-D9,IF(ISNUMBER([1]!Stundenliste[[#This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IF(E10&gt;D10,E10-D10,IF(ISNUMBER([1]!Stundenliste[[#This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IF(E11&gt;D11,E11-D11,IF(ISNUMBER([1]!Stundenliste[[#This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2.4375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IF(E12&gt;D12,E12-D12,IF(ISNUMBER([1]!Stundenliste[[#This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IF(E13&gt;D13,E13-D13,IF(ISNUMBER([1]!Stundenliste[[#This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Fr.</v>
      </c>
      <c r="B14" s="3">
        <v>45968</v>
      </c>
      <c r="C14" s="2" t="s">
        <v>36</v>
      </c>
      <c r="D14" s="4">
        <v>0.625</v>
      </c>
      <c r="E14" s="4">
        <v>0.70833333333333337</v>
      </c>
      <c r="F14" s="12">
        <f>IF(E14&gt;D14,E14-D14,IF(ISNUMBER([1]!Stundenliste[[#This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IF(E15&gt;D15,E15-D15,IF(ISNUMBER([1]!Stundenliste[[#This Row],[Von]]),"24:00"-(D15-E15),""))</f>
        <v>0.33333333333333326</v>
      </c>
      <c r="G15" s="2" t="s">
        <v>9</v>
      </c>
    </row>
    <row r="16" spans="1:17" x14ac:dyDescent="0.25">
      <c r="A16" s="2" t="str">
        <f t="shared" si="0"/>
        <v>Sa.</v>
      </c>
      <c r="B16" s="3">
        <v>45969</v>
      </c>
      <c r="C16" s="2" t="s">
        <v>29</v>
      </c>
      <c r="D16" s="4">
        <v>0.58333333333333337</v>
      </c>
      <c r="E16" s="4">
        <v>0.83333333333333337</v>
      </c>
      <c r="F16" s="12">
        <f>IF(E16&gt;D16,E16-D16,IF(ISNUMBER([1]!Stundenliste[[#This Row],[Von]]),"24:00"-(D16-E16),""))</f>
        <v>0.25</v>
      </c>
      <c r="G16" s="2" t="s">
        <v>13</v>
      </c>
    </row>
    <row r="17" spans="1:7" x14ac:dyDescent="0.25">
      <c r="A17" s="2" t="str">
        <f t="shared" si="0"/>
        <v>Mi.</v>
      </c>
      <c r="B17" s="3">
        <v>45973</v>
      </c>
      <c r="C17" s="2" t="s">
        <v>35</v>
      </c>
      <c r="D17" s="4">
        <v>0.49305555555555558</v>
      </c>
      <c r="E17" s="4">
        <v>0.52777777777777779</v>
      </c>
      <c r="F17" s="12">
        <f>IF(E17&gt;D17,E17-D17,IF(ISNUMBER([1]!Stundenliste[[#This Row],[Von]]),"24:00"-(D17-E17),""))</f>
        <v>3.472222222222221E-2</v>
      </c>
      <c r="G17" s="2" t="s">
        <v>7</v>
      </c>
    </row>
    <row r="18" spans="1:7" x14ac:dyDescent="0.25">
      <c r="A18" s="2" t="str">
        <f t="shared" si="0"/>
        <v>Mi.</v>
      </c>
      <c r="B18" s="3">
        <v>45980</v>
      </c>
      <c r="C18" s="2" t="s">
        <v>30</v>
      </c>
      <c r="D18" s="4">
        <v>0.70833333333333304</v>
      </c>
      <c r="E18" s="4">
        <v>0.79166666666666663</v>
      </c>
      <c r="F18" s="12">
        <f>IF(E18&gt;D18,E18-D18,IF(ISNUMBER([1]!Stundenliste[[#This Row],[Von]]),"24:00"-(D18-E18),""))</f>
        <v>8.3333333333333592E-2</v>
      </c>
      <c r="G18" s="2" t="s">
        <v>7</v>
      </c>
    </row>
    <row r="19" spans="1:7" x14ac:dyDescent="0.25">
      <c r="A19" s="2" t="str">
        <f t="shared" si="0"/>
        <v>Do.</v>
      </c>
      <c r="B19" s="3">
        <v>45981</v>
      </c>
      <c r="C19" s="2" t="s">
        <v>30</v>
      </c>
      <c r="D19" s="4">
        <v>0.66666666666666663</v>
      </c>
      <c r="E19" s="4">
        <v>0.75</v>
      </c>
      <c r="F19" s="12">
        <f>IF(E19&gt;D19,E19-D19,IF(ISNUMBER([1]!Stundenliste[[#This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Fr.</v>
      </c>
      <c r="B20" s="3">
        <v>45982</v>
      </c>
      <c r="C20" s="2" t="s">
        <v>28</v>
      </c>
      <c r="D20" s="4">
        <v>0.5</v>
      </c>
      <c r="E20" s="4">
        <v>0.625</v>
      </c>
      <c r="F20" s="12">
        <f>IF(E20&gt;D20,E20-D20,IF(ISNUMBER([1]!Stundenliste[[#This Row],[Von]]),"24:00"-(D20-E20),""))</f>
        <v>0.125</v>
      </c>
      <c r="G20" s="2" t="s">
        <v>7</v>
      </c>
    </row>
    <row r="21" spans="1:7" x14ac:dyDescent="0.25">
      <c r="A21" s="2" t="str">
        <f t="shared" si="0"/>
        <v>Fr.</v>
      </c>
      <c r="B21" s="3">
        <v>45982</v>
      </c>
      <c r="C21" s="2" t="s">
        <v>40</v>
      </c>
      <c r="D21" s="4">
        <v>0.58333333333333337</v>
      </c>
      <c r="E21" s="4">
        <v>0.66666666666666663</v>
      </c>
      <c r="F21" s="12">
        <f>IF(E21&gt;D21,E21-D21,IF(ISNUMBER([1]!Stundenliste[[#This Row],[Von]]),"24:00"-(D21-E21),""))</f>
        <v>8.3333333333333259E-2</v>
      </c>
      <c r="G21" s="2" t="s">
        <v>7</v>
      </c>
    </row>
    <row r="22" spans="1:7" x14ac:dyDescent="0.25">
      <c r="A22" s="2" t="str">
        <f t="shared" si="0"/>
        <v>Sa.</v>
      </c>
      <c r="B22" s="3">
        <v>45983</v>
      </c>
      <c r="C22" s="2" t="s">
        <v>28</v>
      </c>
      <c r="D22" s="4">
        <v>0.33333333333333331</v>
      </c>
      <c r="E22" s="4">
        <v>0.45833333333333331</v>
      </c>
      <c r="F22" s="12">
        <f>IF(E22&gt;D22,E22-D22,IF(ISNUMBER([1]!Stundenliste[[#This Row],[Von]]),"24:00"-(D22-E22),""))</f>
        <v>0.125</v>
      </c>
      <c r="G22" s="2" t="s">
        <v>7</v>
      </c>
    </row>
    <row r="23" spans="1:7" x14ac:dyDescent="0.25">
      <c r="A23" s="2" t="str">
        <f t="shared" si="0"/>
        <v>Sa.</v>
      </c>
      <c r="B23" s="3">
        <v>45990</v>
      </c>
      <c r="C23" s="2" t="s">
        <v>33</v>
      </c>
      <c r="D23" s="4">
        <v>0.83333333333333337</v>
      </c>
      <c r="E23" s="17">
        <v>1</v>
      </c>
      <c r="F23" s="12">
        <f>IF(E23&gt;D23,E23-D23,IF(ISNUMBER([1]!Stundenliste[[#This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IF(E24&gt;D24,E24-D24,IF(ISNUMBER([1]!Stundenliste[[#This Row],[Von]]),"24:00"-(D24-E24),""))</f>
        <v>8.3333333333333259E-2</v>
      </c>
      <c r="G24" s="2" t="s">
        <v>10</v>
      </c>
    </row>
    <row r="25" spans="1:7" x14ac:dyDescent="0.25">
      <c r="A25" s="2" t="str">
        <f t="shared" si="0"/>
        <v>Mo.</v>
      </c>
      <c r="B25" s="3">
        <v>45999</v>
      </c>
      <c r="C25" s="2" t="s">
        <v>32</v>
      </c>
      <c r="D25" s="4">
        <v>0.45833333333333331</v>
      </c>
      <c r="E25" s="4">
        <v>0.49305555555555558</v>
      </c>
      <c r="F25" s="12">
        <f>IF(E25&gt;D25,E25-D25,IF(ISNUMBER([1]!Stundenliste[[#This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IF(E26&gt;D26,E26-D26,IF(ISNUMBER([1]!Stundenliste[[#This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IF(E27&gt;D27,E27-D27,IF(ISNUMBER([1]!Stundenliste[[#This Row],[Von]]),"24:00"-(D27-E27),""))</f>
        <v>9.0277777777778123E-2</v>
      </c>
      <c r="G27" s="2" t="s">
        <v>11</v>
      </c>
    </row>
    <row r="28" spans="1:7" x14ac:dyDescent="0.25">
      <c r="A28" s="2" t="str">
        <f t="shared" si="0"/>
        <v>Mi.</v>
      </c>
      <c r="B28" s="3">
        <v>46001</v>
      </c>
      <c r="C28" s="2" t="s">
        <v>35</v>
      </c>
      <c r="D28" s="4">
        <v>0.49305555555555558</v>
      </c>
      <c r="E28" s="4">
        <v>0.52777777777777779</v>
      </c>
      <c r="F28" s="12">
        <f>IF(E28&gt;D28,E28-D28,IF(ISNUMBER([1]!Stundenliste[[#This Row],[Von]]),"24:00"-(D28-E28),""))</f>
        <v>3.472222222222221E-2</v>
      </c>
      <c r="G28" s="2" t="s">
        <v>7</v>
      </c>
    </row>
    <row r="29" spans="1:7" x14ac:dyDescent="0.25">
      <c r="A29" s="2" t="str">
        <f t="shared" si="0"/>
        <v>Mo.</v>
      </c>
      <c r="B29" s="3">
        <v>46013</v>
      </c>
      <c r="C29" s="2" t="s">
        <v>31</v>
      </c>
      <c r="D29" s="4">
        <v>0.58333333333333337</v>
      </c>
      <c r="E29" s="4">
        <v>0.67361111111111116</v>
      </c>
      <c r="F29" s="12">
        <f>IF(E29&gt;D29,E29-D29,IF(ISNUMBER([1]!Stundenliste[[#This Row],[Von]]),"24:00"-(D29-E29),""))</f>
        <v>9.027777777777779E-2</v>
      </c>
      <c r="G29" s="2" t="s">
        <v>7</v>
      </c>
    </row>
    <row r="30" spans="1:7" x14ac:dyDescent="0.25">
      <c r="A30" s="2" t="str">
        <f t="shared" si="0"/>
        <v>Mo.</v>
      </c>
      <c r="B30" s="3">
        <v>46013</v>
      </c>
      <c r="C30" s="2" t="s">
        <v>35</v>
      </c>
      <c r="D30" s="4">
        <v>0.49305555555555558</v>
      </c>
      <c r="E30" s="4">
        <v>0.52777777777777779</v>
      </c>
      <c r="F30" s="12">
        <f>IF(E30&gt;D30,E30-D30,IF(ISNUMBER([1]!Stundenliste[[#This Row],[Von]]),"24:00"-(D30-E30),""))</f>
        <v>3.472222222222221E-2</v>
      </c>
      <c r="G30" s="2" t="s">
        <v>7</v>
      </c>
    </row>
    <row r="31" spans="1:7" x14ac:dyDescent="0.25">
      <c r="A31" s="2" t="str">
        <f t="shared" si="0"/>
        <v>Fr.</v>
      </c>
      <c r="B31" s="3">
        <v>46017</v>
      </c>
      <c r="C31" s="2" t="s">
        <v>26</v>
      </c>
      <c r="D31" s="4">
        <v>0.75</v>
      </c>
      <c r="E31" s="4">
        <v>1</v>
      </c>
      <c r="F31" s="12">
        <f>IF(E31&gt;D31,E31-D31,IF(ISNUMBER([1]!Stundenliste[[#This Row],[Von]]),"24:00"-(D31-E31),""))</f>
        <v>0.25</v>
      </c>
      <c r="G31" s="2" t="s">
        <v>10</v>
      </c>
    </row>
    <row r="32" spans="1:7" x14ac:dyDescent="0.25">
      <c r="A32" s="2" t="str">
        <f t="shared" si="0"/>
        <v>Fr.</v>
      </c>
      <c r="B32" s="3">
        <v>46017</v>
      </c>
      <c r="C32" s="2" t="s">
        <v>27</v>
      </c>
      <c r="D32" s="4">
        <v>0.77083333333333337</v>
      </c>
      <c r="E32" s="4">
        <v>0.9375</v>
      </c>
      <c r="F32" s="12">
        <f>IF(E32&gt;D32,E32-D32,IF(ISNUMBER([1]!Stundenliste[[#This Row],[Von]]),"24:00"-(D32-E32),""))</f>
        <v>0.16666666666666663</v>
      </c>
      <c r="G32" s="2" t="s">
        <v>9</v>
      </c>
    </row>
    <row r="33" spans="1:7" x14ac:dyDescent="0.25">
      <c r="A33" s="2" t="str">
        <f t="shared" si="0"/>
        <v>Mo.</v>
      </c>
      <c r="B33" s="3">
        <v>46020</v>
      </c>
      <c r="C33" s="2" t="s">
        <v>34</v>
      </c>
      <c r="D33" s="4">
        <v>0.5</v>
      </c>
      <c r="E33" s="4">
        <v>0.60416666666666663</v>
      </c>
      <c r="F33" s="12">
        <f>IF(E33&gt;D33,E33-D33,IF(ISNUMBER([1]!Stundenliste[[#This Row],[Von]]),"24:00"-(D33-E33),""))</f>
        <v>0.10416666666666663</v>
      </c>
      <c r="G33" s="2" t="s">
        <v>9</v>
      </c>
    </row>
    <row r="34" spans="1:7" x14ac:dyDescent="0.25">
      <c r="A34" s="2" t="str">
        <f t="shared" si="0"/>
        <v>Mo.</v>
      </c>
      <c r="B34" s="3">
        <v>46020</v>
      </c>
      <c r="C34" s="2" t="s">
        <v>34</v>
      </c>
      <c r="D34" s="4">
        <v>0.5</v>
      </c>
      <c r="E34" s="4">
        <v>0.75</v>
      </c>
      <c r="F34" s="12">
        <f>IF(E34&gt;D34,E34-D34,IF(ISNUMBER([1]!Stundenliste[[#This Row],[Von]]),"24:00"-(D34-E34),""))</f>
        <v>0.25</v>
      </c>
      <c r="G34" s="2" t="s">
        <v>13</v>
      </c>
    </row>
    <row r="35" spans="1:7" x14ac:dyDescent="0.25">
      <c r="A35" s="2" t="str">
        <f t="shared" ref="A35:A41" si="5">IF(ISNUMBER(B35),LEFT(TEXT(B35,"TTTT"),2)&amp;".","")</f>
        <v>Fr.</v>
      </c>
      <c r="B35" s="3">
        <v>46024</v>
      </c>
      <c r="C35" s="2" t="s">
        <v>44</v>
      </c>
      <c r="D35" s="4">
        <v>0.5</v>
      </c>
      <c r="E35" s="4">
        <v>0.58333333333333337</v>
      </c>
      <c r="F35" s="12">
        <f>IF(E35&gt;D35,E35-D35,IF(ISNUMBER([1]!Stundenliste[[#This Row],[Von]]),"24:00"-(D35-E35),""))</f>
        <v>8.333333333333337E-2</v>
      </c>
      <c r="G35" s="2" t="s">
        <v>10</v>
      </c>
    </row>
    <row r="36" spans="1:7" x14ac:dyDescent="0.25">
      <c r="A36" s="2" t="str">
        <f t="shared" si="5"/>
        <v>Sa.</v>
      </c>
      <c r="B36" s="3">
        <v>46025</v>
      </c>
      <c r="C36" s="2" t="s">
        <v>45</v>
      </c>
      <c r="D36" s="4">
        <v>0.5</v>
      </c>
      <c r="E36" s="4">
        <v>0.58333333333333337</v>
      </c>
      <c r="F36" s="12">
        <f>IF(E36&gt;D36,E36-D36,IF(ISNUMBER([1]!Stundenliste[[#This Row],[Von]]),"24:00"-(D36-E36),""))</f>
        <v>8.333333333333337E-2</v>
      </c>
      <c r="G36" s="2" t="s">
        <v>10</v>
      </c>
    </row>
    <row r="37" spans="1:7" x14ac:dyDescent="0.25">
      <c r="A37" s="2" t="str">
        <f t="shared" si="5"/>
        <v>So.</v>
      </c>
      <c r="B37" s="3">
        <v>46026</v>
      </c>
      <c r="C37" s="2" t="s">
        <v>46</v>
      </c>
      <c r="D37" s="4">
        <v>0.70833333333333337</v>
      </c>
      <c r="E37" s="4">
        <v>0.875</v>
      </c>
      <c r="F37" s="12">
        <f>IF(E37&gt;D37,E37-D37,IF(ISNUMBER([1]!Stundenliste[[#This Row],[Von]]),"24:00"-(D37-E37),""))</f>
        <v>0.16666666666666663</v>
      </c>
      <c r="G37" s="2" t="s">
        <v>7</v>
      </c>
    </row>
    <row r="38" spans="1:7" x14ac:dyDescent="0.25">
      <c r="A38" s="2" t="str">
        <f t="shared" si="5"/>
        <v>Fr.</v>
      </c>
      <c r="B38" s="3">
        <v>46031</v>
      </c>
      <c r="C38" s="2" t="s">
        <v>47</v>
      </c>
      <c r="D38" s="4">
        <v>0.30902777777777779</v>
      </c>
      <c r="E38" s="4">
        <v>0.35069444444444442</v>
      </c>
      <c r="F38" s="12">
        <f>IF(E38&gt;D38,E38-D38,IF(ISNUMBER([1]!Stundenliste[[#This Row],[Von]]),"24:00"-(D38-E38),""))</f>
        <v>4.166666666666663E-2</v>
      </c>
      <c r="G38" s="2" t="s">
        <v>7</v>
      </c>
    </row>
    <row r="39" spans="1:7" x14ac:dyDescent="0.25">
      <c r="A39" s="2" t="str">
        <f>IF(ISNUMBER(B39),LEFT(TEXT(B39,"TTTT"),2)&amp;".","")</f>
        <v>Mi.</v>
      </c>
      <c r="B39" s="3">
        <v>46050</v>
      </c>
      <c r="C39" s="2" t="s">
        <v>51</v>
      </c>
      <c r="D39" s="4">
        <v>0.72222222222222221</v>
      </c>
      <c r="E39" s="4">
        <v>0.76388888888888884</v>
      </c>
      <c r="F39" s="12">
        <f>IF(E39&gt;D39,E39-D39,IF(ISNUMBER([1]!Stundenliste[[#This Row],[Von]]),"24:00"-(D39-E39),""))</f>
        <v>4.166666666666663E-2</v>
      </c>
      <c r="G39" s="2" t="s">
        <v>10</v>
      </c>
    </row>
    <row r="40" spans="1:7" x14ac:dyDescent="0.25">
      <c r="A40" s="2" t="str">
        <f t="shared" si="5"/>
        <v>Fr.</v>
      </c>
      <c r="B40" s="3">
        <v>46038</v>
      </c>
      <c r="C40" s="2" t="s">
        <v>50</v>
      </c>
      <c r="D40" s="4">
        <v>0.66666666666666663</v>
      </c>
      <c r="E40" s="4">
        <v>0.83333333333333337</v>
      </c>
      <c r="F40" s="12">
        <f>IF(E40&gt;D40,E40-D40,IF(ISNUMBER([1]!Stundenliste[[#This Row],[Von]]),"24:00"-(D40-E40),""))</f>
        <v>0.16666666666666674</v>
      </c>
      <c r="G40" s="2" t="s">
        <v>7</v>
      </c>
    </row>
    <row r="41" spans="1:7" x14ac:dyDescent="0.25">
      <c r="A41" s="2" t="str">
        <f t="shared" si="5"/>
        <v>Sa.</v>
      </c>
      <c r="B41" s="3">
        <v>46039</v>
      </c>
      <c r="C41" s="2" t="s">
        <v>52</v>
      </c>
      <c r="D41" s="4">
        <v>0.66666666666666663</v>
      </c>
      <c r="E41" s="4">
        <v>0.83333333333333337</v>
      </c>
      <c r="F41" s="12">
        <f>IF(E41&gt;D41,E41-D41,IF(ISNUMBER([1]!Stundenliste[[#This Row],[Von]]),"24:00"-(D41-E41),""))</f>
        <v>0.16666666666666674</v>
      </c>
      <c r="G41" s="2" t="s">
        <v>10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Props1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Linus Pilz</cp:lastModifiedBy>
  <cp:revision/>
  <cp:lastPrinted>2026-01-09T07:41:25Z</cp:lastPrinted>
  <dcterms:created xsi:type="dcterms:W3CDTF">2022-09-30T10:08:24Z</dcterms:created>
  <dcterms:modified xsi:type="dcterms:W3CDTF">2026-01-28T17:54:21Z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