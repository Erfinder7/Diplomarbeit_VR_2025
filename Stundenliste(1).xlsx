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1\Downloads\"/>
    </mc:Choice>
  </mc:AlternateContent>
  <xr:revisionPtr revIDLastSave="0" documentId="13_ncr:1_{F6396F35-D50D-42BC-8F79-3308837EFFD7}" xr6:coauthVersionLast="47" xr6:coauthVersionMax="47" xr10:uidLastSave="{00000000-0000-0000-0000-000000000000}"/>
  <bookViews>
    <workbookView xWindow="-120" yWindow="-120" windowWidth="38640" windowHeight="20625" xr2:uid="{904973F5-B02B-4666-A03D-BB66738E721E}"/>
  </bookViews>
  <sheets>
    <sheet name="Tabelle1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32" i="1"/>
  <c r="F33" i="1"/>
  <c r="F34" i="1"/>
  <c r="A10" i="1"/>
  <c r="F10" i="1"/>
  <c r="J9" i="1"/>
  <c r="J7" i="1"/>
  <c r="A34" i="1"/>
  <c r="A21" i="1"/>
  <c r="A36" i="1"/>
  <c r="A37" i="1"/>
  <c r="A38" i="1"/>
  <c r="A39" i="1"/>
  <c r="A40" i="1"/>
  <c r="A41" i="1"/>
  <c r="J8" i="1"/>
  <c r="F21" i="1"/>
  <c r="F37" i="1"/>
  <c r="F38" i="1"/>
  <c r="F39" i="1"/>
  <c r="F40" i="1"/>
  <c r="F41" i="1"/>
  <c r="F2" i="1"/>
  <c r="F3" i="1"/>
  <c r="F4" i="1"/>
  <c r="F5" i="1"/>
  <c r="F6" i="1"/>
  <c r="F8" i="1"/>
  <c r="F9" i="1"/>
  <c r="F11" i="1"/>
  <c r="F12" i="1"/>
  <c r="F15" i="1"/>
  <c r="F26" i="1"/>
  <c r="F27" i="1"/>
  <c r="J5" i="1" s="1"/>
  <c r="F16" i="1"/>
  <c r="J4" i="1"/>
  <c r="J3" i="1"/>
  <c r="F20" i="1"/>
  <c r="F22" i="1"/>
  <c r="F19" i="1"/>
  <c r="F18" i="1"/>
  <c r="F29" i="1"/>
  <c r="F25" i="1"/>
  <c r="F23" i="1"/>
  <c r="F30" i="1"/>
  <c r="F28" i="1"/>
  <c r="F14" i="1"/>
  <c r="F17" i="1"/>
  <c r="F13" i="1"/>
  <c r="F7" i="1"/>
  <c r="F24" i="1"/>
  <c r="A24" i="1"/>
  <c r="J11" i="1" l="1"/>
  <c r="M7" i="1"/>
  <c r="A7" i="1" l="1"/>
  <c r="A14" i="1"/>
  <c r="A28" i="1"/>
  <c r="A13" i="1"/>
  <c r="A30" i="1"/>
  <c r="A17" i="1"/>
  <c r="A33" i="1"/>
  <c r="A23" i="1"/>
  <c r="A25" i="1"/>
  <c r="A29" i="1"/>
  <c r="A31" i="1"/>
  <c r="A32" i="1"/>
  <c r="A20" i="1"/>
  <c r="A22" i="1"/>
  <c r="A19" i="1"/>
  <c r="A18" i="1"/>
  <c r="A16" i="1"/>
  <c r="A27" i="1"/>
  <c r="A8" i="1"/>
  <c r="A15" i="1"/>
  <c r="A26" i="1"/>
  <c r="A12" i="1"/>
  <c r="A9" i="1"/>
  <c r="A2" i="1"/>
  <c r="A6" i="1"/>
  <c r="M4" i="1" l="1"/>
  <c r="A3" i="1"/>
  <c r="A4" i="1"/>
  <c r="A5" i="1"/>
  <c r="A11" i="1"/>
  <c r="M3" i="1" l="1"/>
  <c r="M5" i="1"/>
  <c r="M8" i="1"/>
</calcChain>
</file>

<file path=xl/sharedStrings.xml><?xml version="1.0" encoding="utf-8"?>
<sst xmlns="http://schemas.openxmlformats.org/spreadsheetml/2006/main" count="87" uniqueCount="41">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</sst>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</numFmts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0" fontId="1" fillId="0" borderId="0" xfId="0" applyNumberFormat="1" applyFont="1"/>
    <xf numFmtId="46" fontId="1" fillId="0" borderId="0" xfId="0" applyNumberFormat="1" applyFont="1"/>
  </cellXfs>
  <cellStyles count="1">
    <cellStyle name="Standard" xfId="0" builtinId="0"/>
  </cellStyles>
  <dxfs count="13"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4" formatCode="h: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166" formatCode="[hh]:mm"/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VR1\Downloads\Stundenliste.xlsx" TargetMode="External"/><Relationship Id="rId1" Type="http://schemas.openxmlformats.org/officeDocument/2006/relationships/externalLinkPath" Target="Stundenlis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41" totalsRowShown="0" headerRowDxfId="8" dataDxfId="7">
  <autoFilter ref="A1:G41" xr:uid="{730AE997-56E9-481C-8C9C-45C7D9E3EFFC}"/>
  <sortState xmlns:xlrd2="http://schemas.microsoft.com/office/spreadsheetml/2017/richdata2" ref="A2:G41">
    <sortCondition ref="B1:B41"/>
  </sortState>
  <tableColumns count="7">
    <tableColumn id="1" xr3:uid="{AD59871A-76CC-45F6-8F91-44F7ED02573E}" name="Tag" dataDxfId="6">
      <calculatedColumnFormula>IF(ISNUMBER(B2),LEFT(TEXT(B2,"TTTT"),2)&amp;".","")</calculatedColumnFormula>
    </tableColumn>
    <tableColumn id="2" xr3:uid="{0BE9BF18-BC7D-4870-8E1C-AF08893F5227}" name="Datum" dataDxfId="5"/>
    <tableColumn id="3" xr3:uid="{8264A4E0-F28F-4A0D-A490-C90DCCB13F8E}" name="Tätigkeit/Info" dataDxfId="4"/>
    <tableColumn id="4" xr3:uid="{FE347096-2316-4A4F-8E95-6B08EDE9030A}" name="Von" dataDxfId="3"/>
    <tableColumn id="5" xr3:uid="{DF9965FF-51AE-44CD-90F9-60C1127D4458}" name="Bis" dataDxfId="2"/>
    <tableColumn id="6" xr3:uid="{71889B4E-2C0D-4CC7-AB39-54AAA30FF7DC}" name="Stunden" dataDxfId="0">
      <calculatedColumnFormula>IF(E2&gt;D2,E2-D2,IF(ISNUMBER([1]!Stundenliste[[#This Row],[Von]]),"24:00"-(D2-E2),""))</calculatedColumnFormula>
    </tableColumn>
    <tableColumn id="7" xr3:uid="{37DB6F7E-AF9C-40D4-A31C-91C6CFAF5E2F}" name="Wer" dataDxfId="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M5" totalsRowShown="0">
  <autoFilter ref="L2:M5" xr:uid="{028D3482-62D4-45D7-85FA-8EC2E4DDD78D}"/>
  <tableColumns count="2">
    <tableColumn id="1" xr3:uid="{9B6AAEA3-668A-4353-A33E-0D79279FD064}" name="Name"/>
    <tableColumn id="2" xr3:uid="{DF593358-143C-4B61-887F-2E7A8967BB61}" name="Stunden" dataDxfId="12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11">
  <autoFilter ref="I2:J11" xr:uid="{8B5F2195-23C3-4CB7-A5D3-21B8075D8571}"/>
  <tableColumns count="2">
    <tableColumn id="1" xr3:uid="{5F655F81-B105-43EE-8AB9-3B34703E1464}" name="Name" dataDxfId="10"/>
    <tableColumn id="2" xr3:uid="{B0F8400B-CC18-431B-B826-95EE145FC5C8}" name="Zeit" dataDxfId="9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M41"/>
  <sheetViews>
    <sheetView tabSelected="1" topLeftCell="C1" zoomScale="190" zoomScaleNormal="190" workbookViewId="0">
      <selection activeCell="J23" sqref="J23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13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13" x14ac:dyDescent="0.25">
      <c r="A2" s="2" t="str">
        <f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IF(E2&gt;D2,E2-D2,IF(ISNUMBER([1]!Stundenliste[[#This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</row>
    <row r="3" spans="1:13" x14ac:dyDescent="0.25">
      <c r="A3" s="2" t="str">
        <f>IF(ISNUMBER(B3),LEFT(TEXT(B3,"TTTT"),2)&amp;".","")</f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IF(E3&gt;D3,E3-D3,IF(ISNUMBER([1]!Stundenliste[[#This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0.60416666666666652</v>
      </c>
      <c r="L3" t="s">
        <v>10</v>
      </c>
      <c r="M3" s="11">
        <f>SUM(J4,J7,J8,J11)</f>
        <v>3.729166666666667</v>
      </c>
    </row>
    <row r="4" spans="1:13" x14ac:dyDescent="0.25">
      <c r="A4" s="2" t="str">
        <f>IF(ISNUMBER(B4),LEFT(TEXT(B4,"TTTT"),2)&amp;".","")</f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IF(E4&gt;D4,E4-D4,IF(ISNUMBER([1]!Stundenliste[[#This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0.66666666666666652</v>
      </c>
      <c r="L4" t="s">
        <v>11</v>
      </c>
      <c r="M4" s="11">
        <f>SUM(J5,J8,J9,J11)</f>
        <v>2.6527777777777786</v>
      </c>
    </row>
    <row r="5" spans="1:13" x14ac:dyDescent="0.25">
      <c r="A5" s="2" t="str">
        <f>IF(ISNUMBER(B5),LEFT(TEXT(B5,"TTTT"),2)&amp;".","")</f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IF(E5&gt;D5,E5-D5,IF(ISNUMBER([1]!Stundenliste[[#This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9.0277777777778123E-2</v>
      </c>
      <c r="L5" t="s">
        <v>9</v>
      </c>
      <c r="M5" s="11">
        <f>SUM(J3,J7,J9,J11)</f>
        <v>3.166666666666667</v>
      </c>
    </row>
    <row r="6" spans="1:13" x14ac:dyDescent="0.25">
      <c r="A6" s="2" t="str">
        <f>IF(ISNUMBER(B6),LEFT(TEXT(B6,"TTTT"),2)&amp;".","")</f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IF(E6&gt;D6,E6-D6,IF(ISNUMBER([1]!Stundenliste[[#This Row],[Von]]),"24:00"-(D6-E6),""))</f>
        <v>0.29166666666666663</v>
      </c>
      <c r="G6" s="2" t="s">
        <v>7</v>
      </c>
      <c r="I6" s="3"/>
      <c r="J6" s="10"/>
    </row>
    <row r="7" spans="1:13" x14ac:dyDescent="0.25">
      <c r="A7" s="17" t="str">
        <f>IF(ISNUMBER(B7),LEFT(TEXT(B7,"TTTT"),2)&amp;".","")</f>
        <v>Di.</v>
      </c>
      <c r="B7" s="3">
        <v>45881</v>
      </c>
      <c r="C7" s="17" t="s">
        <v>37</v>
      </c>
      <c r="D7" s="4">
        <v>0.75</v>
      </c>
      <c r="E7" s="4">
        <v>0.875</v>
      </c>
      <c r="F7" s="12">
        <f>IF(E7&gt;D7,E7-D7,IF(ISNUMBER([1]!Stundenliste[[#This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0.49999999999999989</v>
      </c>
      <c r="M7" s="15">
        <f>SUM(F2:F41)</f>
        <v>4.4236111111111125</v>
      </c>
    </row>
    <row r="8" spans="1:13" x14ac:dyDescent="0.25">
      <c r="A8" s="2" t="str">
        <f>IF(ISNUMBER(B8),LEFT(TEXT(B8,"TTTT"),2)&amp;".","")</f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IF(E8&gt;D8,E8-D8,IF(ISNUMBER([1]!Stundenliste[[#This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0.5</v>
      </c>
      <c r="M8" s="16">
        <f>TEXT(M7,"[h]")+TEXT(M7,"mm")/60</f>
        <v>106.16666666666667</v>
      </c>
    </row>
    <row r="9" spans="1:13" x14ac:dyDescent="0.25">
      <c r="A9" s="2" t="str">
        <f>IF(ISNUMBER(B9),LEFT(TEXT(B9,"TTTT"),2)&amp;".","")</f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IF(E9&gt;D9,E9-D9,IF(ISNUMBER([1]!Stundenliste[[#This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13" x14ac:dyDescent="0.25">
      <c r="A10" s="2" t="str">
        <f>IF(ISNUMBER(B10),LEFT(TEXT(B10,"TTTT"),2)&amp;".","")</f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IF(E10&gt;D10,E10-D10,IF(ISNUMBER([1]!Stundenliste[[#This Row],[Von]]),"24:00"-(D10-E10),""))</f>
        <v>0.16666666666666663</v>
      </c>
      <c r="G10" s="2" t="s">
        <v>12</v>
      </c>
      <c r="I10" s="3"/>
      <c r="J10" s="10"/>
    </row>
    <row r="11" spans="1:13" x14ac:dyDescent="0.25">
      <c r="A11" s="2" t="str">
        <f>IF(ISNUMBER(B11),LEFT(TEXT(B11,"TTTT"),2)&amp;".","")</f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IF(E11&gt;D11,E11-D11,IF(ISNUMBER([1]!Stundenliste[[#This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2.0625000000000004</v>
      </c>
    </row>
    <row r="12" spans="1:13" x14ac:dyDescent="0.25">
      <c r="A12" s="2" t="str">
        <f>IF(ISNUMBER(B12),LEFT(TEXT(B12,"TTTT"),2)&amp;".","")</f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IF(E12&gt;D12,E12-D12,IF(ISNUMBER([1]!Stundenliste[[#This Row],[Von]]),"24:00"-(D12-E12),""))</f>
        <v>8.3333333333333315E-2</v>
      </c>
      <c r="G12" s="13" t="s">
        <v>10</v>
      </c>
    </row>
    <row r="13" spans="1:13" x14ac:dyDescent="0.25">
      <c r="A13" s="17" t="str">
        <f>IF(ISNUMBER(B13),LEFT(TEXT(B13,"TTTT"),2)&amp;".","")</f>
        <v>Fr.</v>
      </c>
      <c r="B13" s="3">
        <v>45940</v>
      </c>
      <c r="C13" s="17" t="s">
        <v>35</v>
      </c>
      <c r="D13" s="4">
        <v>0.83333333333333337</v>
      </c>
      <c r="E13" s="4">
        <v>0.875</v>
      </c>
      <c r="F13" s="12">
        <f>IF(E13&gt;D13,E13-D13,IF(ISNUMBER([1]!Stundenliste[[#This Row],[Von]]),"24:00"-(D13-E13),""))</f>
        <v>4.166666666666663E-2</v>
      </c>
      <c r="G13" s="2" t="s">
        <v>7</v>
      </c>
      <c r="I13" s="14"/>
      <c r="J13" s="9"/>
      <c r="K13" s="2"/>
    </row>
    <row r="14" spans="1:13" x14ac:dyDescent="0.25">
      <c r="A14" s="17" t="str">
        <f>IF(ISNUMBER(B14),LEFT(TEXT(B14,"TTTT"),2)&amp;".","")</f>
        <v>Fr.</v>
      </c>
      <c r="B14" s="3">
        <v>45968</v>
      </c>
      <c r="C14" s="17" t="s">
        <v>36</v>
      </c>
      <c r="D14" s="4">
        <v>0.625</v>
      </c>
      <c r="E14" s="4">
        <v>0.70833333333333337</v>
      </c>
      <c r="F14" s="12">
        <f>IF(E14&gt;D14,E14-D14,IF(ISNUMBER([1]!Stundenliste[[#This Row],[Von]]),"24:00"-(D14-E14),""))</f>
        <v>8.333333333333337E-2</v>
      </c>
      <c r="G14" s="2" t="s">
        <v>7</v>
      </c>
      <c r="I14" s="14"/>
      <c r="J14" s="9"/>
      <c r="K14" s="2"/>
    </row>
    <row r="15" spans="1:13" x14ac:dyDescent="0.25">
      <c r="A15" s="2" t="str">
        <f>IF(ISNUMBER(B15),LEFT(TEXT(B15,"TTTT"),2)&amp;".","")</f>
        <v>Sa.</v>
      </c>
      <c r="B15" s="3">
        <v>45969</v>
      </c>
      <c r="C15" s="2" t="s">
        <v>29</v>
      </c>
      <c r="D15" s="4">
        <v>0.58333333333333337</v>
      </c>
      <c r="E15" s="4">
        <v>0.91666666666666663</v>
      </c>
      <c r="F15" s="12">
        <f>IF(E15&gt;D15,E15-D15,IF(ISNUMBER([1]!Stundenliste[[#This Row],[Von]]),"24:00"-(D15-E15),""))</f>
        <v>0.33333333333333326</v>
      </c>
      <c r="G15" s="2" t="s">
        <v>9</v>
      </c>
    </row>
    <row r="16" spans="1:13" x14ac:dyDescent="0.25">
      <c r="A16" s="17" t="str">
        <f>IF(ISNUMBER(B16),LEFT(TEXT(B16,"TTTT"),2)&amp;".","")</f>
        <v>Sa.</v>
      </c>
      <c r="B16" s="3">
        <v>45969</v>
      </c>
      <c r="C16" s="17" t="s">
        <v>29</v>
      </c>
      <c r="D16" s="4">
        <v>0.58333333333333337</v>
      </c>
      <c r="E16" s="4">
        <v>0.83333333333333337</v>
      </c>
      <c r="F16" s="12">
        <f>IF(E16&gt;D16,E16-D16,IF(ISNUMBER([1]!Stundenliste[[#This Row],[Von]]),"24:00"-(D16-E16),""))</f>
        <v>0.25</v>
      </c>
      <c r="G16" s="2" t="s">
        <v>13</v>
      </c>
    </row>
    <row r="17" spans="1:7" x14ac:dyDescent="0.25">
      <c r="A17" s="17" t="str">
        <f>IF(ISNUMBER(B17),LEFT(TEXT(B17,"TTTT"),2)&amp;".","")</f>
        <v>Mi.</v>
      </c>
      <c r="B17" s="3">
        <v>45973</v>
      </c>
      <c r="C17" s="17" t="s">
        <v>35</v>
      </c>
      <c r="D17" s="4">
        <v>0.49305555555555558</v>
      </c>
      <c r="E17" s="4">
        <v>0.52777777777777779</v>
      </c>
      <c r="F17" s="12">
        <f>IF(E17&gt;D17,E17-D17,IF(ISNUMBER([1]!Stundenliste[[#This Row],[Von]]),"24:00"-(D17-E17),""))</f>
        <v>3.472222222222221E-2</v>
      </c>
      <c r="G17" s="2" t="s">
        <v>7</v>
      </c>
    </row>
    <row r="18" spans="1:7" x14ac:dyDescent="0.25">
      <c r="A18" s="17" t="str">
        <f>IF(ISNUMBER(B18),LEFT(TEXT(B18,"TTTT"),2)&amp;".","")</f>
        <v>Mi.</v>
      </c>
      <c r="B18" s="3">
        <v>45980</v>
      </c>
      <c r="C18" s="17" t="s">
        <v>30</v>
      </c>
      <c r="D18" s="4">
        <v>0.70833333333333304</v>
      </c>
      <c r="E18" s="4">
        <v>0.79166666666666663</v>
      </c>
      <c r="F18" s="12">
        <f>IF(E18&gt;D18,E18-D18,IF(ISNUMBER([1]!Stundenliste[[#This Row],[Von]]),"24:00"-(D18-E18),""))</f>
        <v>8.3333333333333592E-2</v>
      </c>
      <c r="G18" s="2" t="s">
        <v>7</v>
      </c>
    </row>
    <row r="19" spans="1:7" x14ac:dyDescent="0.25">
      <c r="A19" s="17" t="str">
        <f>IF(ISNUMBER(B19),LEFT(TEXT(B19,"TTTT"),2)&amp;".","")</f>
        <v>Do.</v>
      </c>
      <c r="B19" s="3">
        <v>45981</v>
      </c>
      <c r="C19" s="17" t="s">
        <v>30</v>
      </c>
      <c r="D19" s="4">
        <v>0.66666666666666663</v>
      </c>
      <c r="E19" s="4">
        <v>0.75</v>
      </c>
      <c r="F19" s="12">
        <f>IF(E19&gt;D19,E19-D19,IF(ISNUMBER([1]!Stundenliste[[#This Row],[Von]]),"24:00"-(D19-E19),""))</f>
        <v>8.333333333333337E-2</v>
      </c>
      <c r="G19" s="2" t="s">
        <v>7</v>
      </c>
    </row>
    <row r="20" spans="1:7" x14ac:dyDescent="0.25">
      <c r="A20" s="17" t="str">
        <f>IF(ISNUMBER(B20),LEFT(TEXT(B20,"TTTT"),2)&amp;".","")</f>
        <v>Fr.</v>
      </c>
      <c r="B20" s="3">
        <v>45982</v>
      </c>
      <c r="C20" s="17" t="s">
        <v>28</v>
      </c>
      <c r="D20" s="4">
        <v>0.5</v>
      </c>
      <c r="E20" s="4">
        <v>0.625</v>
      </c>
      <c r="F20" s="12">
        <f>IF(E20&gt;D20,E20-D20,IF(ISNUMBER([1]!Stundenliste[[#This Row],[Von]]),"24:00"-(D20-E20),""))</f>
        <v>0.125</v>
      </c>
      <c r="G20" s="2" t="s">
        <v>7</v>
      </c>
    </row>
    <row r="21" spans="1:7" x14ac:dyDescent="0.25">
      <c r="A21" s="17" t="str">
        <f>IF(ISNUMBER(B21),LEFT(TEXT(B21,"TTTT"),2)&amp;".","")</f>
        <v>Fr.</v>
      </c>
      <c r="B21" s="3">
        <v>45982</v>
      </c>
      <c r="C21" s="17" t="s">
        <v>40</v>
      </c>
      <c r="D21" s="4">
        <v>0.58333333333333337</v>
      </c>
      <c r="E21" s="4">
        <v>0.66666666666666663</v>
      </c>
      <c r="F21" s="12">
        <f>IF(E21&gt;D21,E21-D21,IF(ISNUMBER([1]!Stundenliste[[#This Row],[Von]]),"24:00"-(D21-E21),""))</f>
        <v>8.3333333333333259E-2</v>
      </c>
      <c r="G21" s="2" t="s">
        <v>7</v>
      </c>
    </row>
    <row r="22" spans="1:7" x14ac:dyDescent="0.25">
      <c r="A22" s="17" t="str">
        <f>IF(ISNUMBER(B22),LEFT(TEXT(B22,"TTTT"),2)&amp;".","")</f>
        <v>Sa.</v>
      </c>
      <c r="B22" s="3">
        <v>45983</v>
      </c>
      <c r="C22" s="17" t="s">
        <v>28</v>
      </c>
      <c r="D22" s="4">
        <v>0.33333333333333331</v>
      </c>
      <c r="E22" s="4">
        <v>0.45833333333333331</v>
      </c>
      <c r="F22" s="12">
        <f>IF(E22&gt;D22,E22-D22,IF(ISNUMBER([1]!Stundenliste[[#This Row],[Von]]),"24:00"-(D22-E22),""))</f>
        <v>0.125</v>
      </c>
      <c r="G22" s="2" t="s">
        <v>7</v>
      </c>
    </row>
    <row r="23" spans="1:7" x14ac:dyDescent="0.25">
      <c r="A23" s="17" t="str">
        <f>IF(ISNUMBER(B23),LEFT(TEXT(B23,"TTTT"),2)&amp;".","")</f>
        <v>Sa.</v>
      </c>
      <c r="B23" s="3">
        <v>45990</v>
      </c>
      <c r="C23" s="17" t="s">
        <v>33</v>
      </c>
      <c r="D23" s="4">
        <v>0.83333333333333337</v>
      </c>
      <c r="E23" s="18">
        <v>1</v>
      </c>
      <c r="F23" s="12">
        <f>IF(E23&gt;D23,E23-D23,IF(ISNUMBER([1]!Stundenliste[[#This Row],[Von]]),"24:00"-(D23-E23),""))</f>
        <v>0.16666666666666663</v>
      </c>
      <c r="G23" s="2" t="s">
        <v>10</v>
      </c>
    </row>
    <row r="24" spans="1:7" x14ac:dyDescent="0.25">
      <c r="A24" s="2" t="str">
        <f>IF(ISNUMBER(B24),LEFT(TEXT(B24,"TTTT"),2)&amp;".","")</f>
        <v>Fr.</v>
      </c>
      <c r="B24" s="3">
        <v>45996</v>
      </c>
      <c r="C24" s="2" t="s">
        <v>38</v>
      </c>
      <c r="D24" s="4">
        <v>0.70833333333333337</v>
      </c>
      <c r="E24" s="4">
        <v>0.79166666666666663</v>
      </c>
      <c r="F24" s="12">
        <f>IF(E24&gt;D24,E24-D24,IF(ISNUMBER([1]!Stundenliste[[#This Row],[Von]]),"24:00"-(D24-E24),""))</f>
        <v>8.3333333333333259E-2</v>
      </c>
      <c r="G24" s="2" t="s">
        <v>10</v>
      </c>
    </row>
    <row r="25" spans="1:7" x14ac:dyDescent="0.25">
      <c r="A25" s="17" t="str">
        <f>IF(ISNUMBER(B25),LEFT(TEXT(B25,"TTTT"),2)&amp;".","")</f>
        <v>Mo.</v>
      </c>
      <c r="B25" s="3">
        <v>45999</v>
      </c>
      <c r="C25" s="17" t="s">
        <v>32</v>
      </c>
      <c r="D25" s="4">
        <v>0.45833333333333331</v>
      </c>
      <c r="E25" s="4">
        <v>0.49305555555555558</v>
      </c>
      <c r="F25" s="12">
        <f>IF(E25&gt;D25,E25-D25,IF(ISNUMBER([1]!Stundenliste[[#This Row],[Von]]),"24:00"-(D25-E25),""))</f>
        <v>3.4722222222222265E-2</v>
      </c>
      <c r="G25" s="2" t="s">
        <v>7</v>
      </c>
    </row>
    <row r="26" spans="1:7" x14ac:dyDescent="0.25">
      <c r="A26" s="2" t="str">
        <f>IF(ISNUMBER(B26),LEFT(TEXT(B26,"TTTT"),2)&amp;".","")</f>
        <v>Mi.</v>
      </c>
      <c r="B26" s="3">
        <v>46001</v>
      </c>
      <c r="C26" s="2" t="s">
        <v>25</v>
      </c>
      <c r="D26" s="4">
        <v>0.52777777777777779</v>
      </c>
      <c r="E26" s="4">
        <v>0.67361111111111116</v>
      </c>
      <c r="F26" s="12">
        <f>IF(E26&gt;D26,E26-D26,IF(ISNUMBER([1]!Stundenliste[[#This Row],[Von]]),"24:00"-(D26-E26),""))</f>
        <v>0.14583333333333337</v>
      </c>
      <c r="G26" s="2" t="s">
        <v>12</v>
      </c>
    </row>
    <row r="27" spans="1:7" x14ac:dyDescent="0.25">
      <c r="A27" s="2" t="str">
        <f>IF(ISNUMBER(B27),LEFT(TEXT(B27,"TTTT"),2)&amp;".","")</f>
        <v>Mi.</v>
      </c>
      <c r="B27" s="3">
        <v>46001</v>
      </c>
      <c r="C27" s="2" t="s">
        <v>25</v>
      </c>
      <c r="D27" s="9">
        <v>0.58333333333333304</v>
      </c>
      <c r="E27" s="4">
        <v>0.67361111111111116</v>
      </c>
      <c r="F27" s="12">
        <f>IF(E27&gt;D27,E27-D27,IF(ISNUMBER([1]!Stundenliste[[#This Row],[Von]]),"24:00"-(D27-E27),""))</f>
        <v>9.0277777777778123E-2</v>
      </c>
      <c r="G27" s="2" t="s">
        <v>11</v>
      </c>
    </row>
    <row r="28" spans="1:7" x14ac:dyDescent="0.25">
      <c r="A28" s="17" t="str">
        <f>IF(ISNUMBER(B28),LEFT(TEXT(B28,"TTTT"),2)&amp;".","")</f>
        <v>Mi.</v>
      </c>
      <c r="B28" s="3">
        <v>46001</v>
      </c>
      <c r="C28" s="17" t="s">
        <v>35</v>
      </c>
      <c r="D28" s="4">
        <v>0.49305555555555558</v>
      </c>
      <c r="E28" s="4">
        <v>0.52777777777777779</v>
      </c>
      <c r="F28" s="12">
        <f>IF(E28&gt;D28,E28-D28,IF(ISNUMBER([1]!Stundenliste[[#This Row],[Von]]),"24:00"-(D28-E28),""))</f>
        <v>3.472222222222221E-2</v>
      </c>
      <c r="G28" s="2" t="s">
        <v>7</v>
      </c>
    </row>
    <row r="29" spans="1:7" x14ac:dyDescent="0.25">
      <c r="A29" s="17" t="str">
        <f>IF(ISNUMBER(B29),LEFT(TEXT(B29,"TTTT"),2)&amp;".","")</f>
        <v>Mo.</v>
      </c>
      <c r="B29" s="3">
        <v>46013</v>
      </c>
      <c r="C29" s="17" t="s">
        <v>31</v>
      </c>
      <c r="D29" s="4">
        <v>0.58333333333333337</v>
      </c>
      <c r="E29" s="4">
        <v>0.67361111111111116</v>
      </c>
      <c r="F29" s="12">
        <f>IF(E29&gt;D29,E29-D29,IF(ISNUMBER([1]!Stundenliste[[#This Row],[Von]]),"24:00"-(D29-E29),""))</f>
        <v>9.027777777777779E-2</v>
      </c>
      <c r="G29" s="2" t="s">
        <v>7</v>
      </c>
    </row>
    <row r="30" spans="1:7" x14ac:dyDescent="0.25">
      <c r="A30" s="17" t="str">
        <f>IF(ISNUMBER(B30),LEFT(TEXT(B30,"TTTT"),2)&amp;".","")</f>
        <v>Mo.</v>
      </c>
      <c r="B30" s="3">
        <v>46013</v>
      </c>
      <c r="C30" s="17" t="s">
        <v>35</v>
      </c>
      <c r="D30" s="4">
        <v>0.49305555555555558</v>
      </c>
      <c r="E30" s="4">
        <v>0.52777777777777779</v>
      </c>
      <c r="F30" s="12">
        <f>IF(E30&gt;D30,E30-D30,IF(ISNUMBER([1]!Stundenliste[[#This Row],[Von]]),"24:00"-(D30-E30),""))</f>
        <v>3.472222222222221E-2</v>
      </c>
      <c r="G30" s="2" t="s">
        <v>7</v>
      </c>
    </row>
    <row r="31" spans="1:7" x14ac:dyDescent="0.25">
      <c r="A31" s="17" t="str">
        <f>IF(ISNUMBER(B31),LEFT(TEXT(B31,"TTTT"),2)&amp;".","")</f>
        <v>Fr.</v>
      </c>
      <c r="B31" s="3">
        <v>46017</v>
      </c>
      <c r="C31" s="17" t="s">
        <v>26</v>
      </c>
      <c r="D31" s="4">
        <v>0.75</v>
      </c>
      <c r="E31" s="4">
        <v>1</v>
      </c>
      <c r="F31" s="12">
        <f>IF(E31&gt;D31,E31-D31,IF(ISNUMBER([1]!Stundenliste[[#This Row],[Von]]),"24:00"-(D31-E31),""))</f>
        <v>0.25</v>
      </c>
      <c r="G31" s="2" t="s">
        <v>10</v>
      </c>
    </row>
    <row r="32" spans="1:7" x14ac:dyDescent="0.25">
      <c r="A32" s="17" t="str">
        <f>IF(ISNUMBER(B32),LEFT(TEXT(B32,"TTTT"),2)&amp;".","")</f>
        <v>Fr.</v>
      </c>
      <c r="B32" s="3">
        <v>46017</v>
      </c>
      <c r="C32" s="17" t="s">
        <v>27</v>
      </c>
      <c r="D32" s="4">
        <v>0.77083333333333337</v>
      </c>
      <c r="E32" s="4">
        <v>0.9375</v>
      </c>
      <c r="F32" s="12">
        <f>IF(E32&gt;D32,E32-D32,IF(ISNUMBER([1]!Stundenliste[[#This Row],[Von]]),"24:00"-(D32-E32),""))</f>
        <v>0.16666666666666663</v>
      </c>
      <c r="G32" s="2" t="s">
        <v>9</v>
      </c>
    </row>
    <row r="33" spans="1:7" x14ac:dyDescent="0.25">
      <c r="A33" s="17" t="str">
        <f>IF(ISNUMBER(B33),LEFT(TEXT(B33,"TTTT"),2)&amp;".","")</f>
        <v>Mo.</v>
      </c>
      <c r="B33" s="3">
        <v>46020</v>
      </c>
      <c r="C33" s="17" t="s">
        <v>34</v>
      </c>
      <c r="D33" s="4">
        <v>0.5</v>
      </c>
      <c r="E33" s="4">
        <v>0.60416666666666663</v>
      </c>
      <c r="F33" s="12">
        <f>IF(E33&gt;D33,E33-D33,IF(ISNUMBER([1]!Stundenliste[[#This Row],[Von]]),"24:00"-(D33-E33),""))</f>
        <v>0.10416666666666663</v>
      </c>
      <c r="G33" s="2" t="s">
        <v>9</v>
      </c>
    </row>
    <row r="34" spans="1:7" x14ac:dyDescent="0.25">
      <c r="A34" s="17" t="str">
        <f>IF(ISNUMBER(B34),LEFT(TEXT(B34,"TTTT"),2)&amp;".","")</f>
        <v>Mo.</v>
      </c>
      <c r="B34" s="3">
        <v>46020</v>
      </c>
      <c r="C34" s="17" t="s">
        <v>34</v>
      </c>
      <c r="D34" s="4">
        <v>0.5</v>
      </c>
      <c r="E34" s="4">
        <v>0.75</v>
      </c>
      <c r="F34" s="12">
        <f>IF(E34&gt;D34,E34-D34,IF(ISNUMBER([1]!Stundenliste[[#This Row],[Von]]),"24:00"-(D34-E34),""))</f>
        <v>0.25</v>
      </c>
      <c r="G34" s="2" t="s">
        <v>13</v>
      </c>
    </row>
    <row r="35" spans="1:7" x14ac:dyDescent="0.25">
      <c r="A35" s="17"/>
      <c r="B35" s="3"/>
      <c r="C35" s="17"/>
      <c r="D35" s="4"/>
      <c r="E35" s="4"/>
      <c r="F35" s="12"/>
      <c r="G35" s="2"/>
    </row>
    <row r="36" spans="1:7" x14ac:dyDescent="0.25">
      <c r="A36" s="17" t="str">
        <f>IF(ISNUMBER(B36),LEFT(TEXT(B36,"TTTT"),2)&amp;".","")</f>
        <v/>
      </c>
      <c r="B36" s="3"/>
      <c r="C36" s="17"/>
      <c r="D36" s="2"/>
      <c r="E36" s="2"/>
      <c r="F36" s="12"/>
      <c r="G36" s="2"/>
    </row>
    <row r="37" spans="1:7" x14ac:dyDescent="0.25">
      <c r="A37" s="17" t="str">
        <f>IF(ISNUMBER(B37),LEFT(TEXT(B37,"TTTT"),2)&amp;".","")</f>
        <v/>
      </c>
      <c r="B37" s="3"/>
      <c r="C37" s="17"/>
      <c r="D37" s="2"/>
      <c r="E37" s="2"/>
      <c r="F37" s="12" t="str">
        <f>IF(E37&gt;D37,E37-D37,IF(ISNUMBER([1]!Stundenliste[[#This Row],[Von]]),"24:00"-(D37-E37),""))</f>
        <v/>
      </c>
      <c r="G37" s="2"/>
    </row>
    <row r="38" spans="1:7" x14ac:dyDescent="0.25">
      <c r="A38" s="17" t="str">
        <f>IF(ISNUMBER(B38),LEFT(TEXT(B38,"TTTT"),2)&amp;".","")</f>
        <v/>
      </c>
      <c r="B38" s="3"/>
      <c r="C38" s="17"/>
      <c r="D38" s="2"/>
      <c r="E38" s="2"/>
      <c r="F38" s="12" t="str">
        <f>IF(E38&gt;D38,E38-D38,IF(ISNUMBER([1]!Stundenliste[[#This Row],[Von]]),"24:00"-(D38-E38),""))</f>
        <v/>
      </c>
      <c r="G38" s="2"/>
    </row>
    <row r="39" spans="1:7" x14ac:dyDescent="0.25">
      <c r="A39" s="17" t="str">
        <f>IF(ISNUMBER(B39),LEFT(TEXT(B39,"TTTT"),2)&amp;".","")</f>
        <v/>
      </c>
      <c r="B39" s="3"/>
      <c r="C39" s="17"/>
      <c r="D39" s="2"/>
      <c r="E39" s="2"/>
      <c r="F39" s="12" t="str">
        <f>IF(E39&gt;D39,E39-D39,IF(ISNUMBER([1]!Stundenliste[[#This Row],[Von]]),"24:00"-(D39-E39),""))</f>
        <v/>
      </c>
      <c r="G39" s="2"/>
    </row>
    <row r="40" spans="1:7" x14ac:dyDescent="0.25">
      <c r="A40" s="17" t="str">
        <f>IF(ISNUMBER(B40),LEFT(TEXT(B40,"TTTT"),2)&amp;".","")</f>
        <v/>
      </c>
      <c r="B40" s="3"/>
      <c r="C40" s="17"/>
      <c r="D40" s="2"/>
      <c r="E40" s="2"/>
      <c r="F40" s="12" t="str">
        <f>IF(E40&gt;D40,E40-D40,IF(ISNUMBER([1]!Stundenliste[[#This Row],[Von]]),"24:00"-(D40-E40),""))</f>
        <v/>
      </c>
      <c r="G40" s="2"/>
    </row>
    <row r="41" spans="1:7" x14ac:dyDescent="0.25">
      <c r="A41" s="17" t="str">
        <f>IF(ISNUMBER(B41),LEFT(TEXT(B41,"TTTT"),2)&amp;".","")</f>
        <v/>
      </c>
      <c r="B41" s="3"/>
      <c r="C41" s="17"/>
      <c r="D41" s="2"/>
      <c r="E41" s="2"/>
      <c r="F41" s="12" t="str">
        <f>IF(E41&gt;D41,E41-D41,IF(ISNUMBER([1]!Stundenliste[[#This Row],[Von]]),"24:00"-(D41-E41),""))</f>
        <v/>
      </c>
      <c r="G41" s="2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Niklas Studener</cp:lastModifiedBy>
  <cp:revision/>
  <dcterms:created xsi:type="dcterms:W3CDTF">2022-09-30T10:08:24Z</dcterms:created>
  <dcterms:modified xsi:type="dcterms:W3CDTF">2025-12-29T15:33:09Z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